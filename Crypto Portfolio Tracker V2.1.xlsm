
<file path=[Content_Types].xml><?xml version="1.0" encoding="utf-8"?>
<Types xmlns="http://schemas.openxmlformats.org/package/2006/content-types">
  <Default Extension="rels" ContentType="application/vnd.openxmlformats-package.relationships+xml"/>
  <Default Extension="bin" ContentType="application/vnd.ms-office.vbaProject"/>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2.xml" ContentType="application/vnd.openxmlformats-officedocument.drawing+xml"/>
  <Override PartName="/xl/worksheets/sheet5.xml" ContentType="application/vnd.openxmlformats-officedocument.spreadsheetml.worksheet+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Portfolio" sheetId="1" state="visible" r:id="rId1"/>
    <sheet xmlns:r="http://schemas.openxmlformats.org/officeDocument/2006/relationships" name="Summary" sheetId="2" state="visible" r:id="rId2"/>
    <sheet xmlns:r="http://schemas.openxmlformats.org/officeDocument/2006/relationships" name="Prices" sheetId="3" state="visible" r:id="rId3"/>
    <sheet xmlns:r="http://schemas.openxmlformats.org/officeDocument/2006/relationships" name="Notes" sheetId="4" state="visible" r:id="rId4"/>
    <sheet xmlns:r="http://schemas.openxmlformats.org/officeDocument/2006/relationships" name="Ratings" sheetId="5" state="visible" r:id="rId7"/>
  </sheets>
  <definedNames>
    <definedName name="PieLabels">OFFSET(Summary!$AC$5,0,0,Summary!$AF$9,1)</definedName>
    <definedName name="PieValues">OFFSET(Summary!$AD$5,0,0,Summary!$AF$9,1)</definedName>
  </definedNames>
  <calcPr calcId="124519" fullCalcOnLoad="1"/>
</workbook>
</file>

<file path=xl/styles.xml><?xml version="1.0" encoding="utf-8"?>
<styleSheet xmlns="http://schemas.openxmlformats.org/spreadsheetml/2006/main">
  <numFmts count="6">
    <numFmt numFmtId="164" formatCode="$#,##0.00######"/>
    <numFmt numFmtId="165" formatCode="m/d/yyyy h:mm"/>
    <numFmt numFmtId="166" formatCode="$#,##0.00;[Red]-$#,##0.00;&quot;-&quot;"/>
    <numFmt numFmtId="167" formatCode="0.0%;[Red]-0.0%;&quot;-&quot;"/>
    <numFmt numFmtId="168" formatCode="#,##0.########"/>
    <numFmt numFmtId="169" formatCode="0.0"/>
  </numFmts>
  <fonts count="13">
    <font>
      <name val="Calibri"/>
      <family val="2"/>
      <color theme="1"/>
      <sz val="11"/>
      <scheme val="minor"/>
    </font>
    <font>
      <name val="Arial"/>
      <b val="1"/>
      <color rgb="001F3864"/>
      <sz val="16"/>
    </font>
    <font>
      <name val="Arial"/>
      <i val="1"/>
      <color rgb="00595959"/>
      <sz val="9"/>
    </font>
    <font>
      <name val="Arial"/>
      <color rgb="00808080"/>
      <sz val="8"/>
    </font>
    <font>
      <name val="Arial"/>
      <sz val="10"/>
    </font>
    <font>
      <name val="Arial"/>
      <color rgb="000000FF"/>
      <sz val="10"/>
    </font>
    <font>
      <name val="Arial"/>
      <b val="1"/>
      <color rgb="00FFFFFF"/>
      <sz val="10"/>
    </font>
    <font>
      <name val="Arial"/>
      <color rgb="00A6A6A6"/>
      <sz val="8"/>
    </font>
    <font>
      <name val="Arial"/>
      <b val="1"/>
      <sz val="10"/>
    </font>
    <font>
      <name val="Arial"/>
      <b val="1"/>
      <color rgb="00595959"/>
      <sz val="9"/>
    </font>
    <font>
      <name val="Arial"/>
      <b val="1"/>
      <color rgb="001F3864"/>
      <sz val="14"/>
    </font>
    <font>
      <name val="Arial"/>
      <b val="1"/>
      <color rgb="00595959"/>
      <sz val="10"/>
    </font>
    <font>
      <name val="Arial"/>
      <b val="1"/>
      <color rgb="00FFFFFF"/>
      <sz val="11"/>
    </font>
  </fonts>
  <fills count="5">
    <fill>
      <patternFill/>
    </fill>
    <fill>
      <patternFill patternType="gray125"/>
    </fill>
    <fill>
      <patternFill patternType="solid">
        <fgColor rgb="00FFF2CC"/>
      </patternFill>
    </fill>
    <fill>
      <patternFill patternType="solid">
        <fgColor rgb="001F3864"/>
      </patternFill>
    </fill>
    <fill>
      <patternFill patternType="solid">
        <fgColor rgb="00F2F2F2"/>
      </patternFill>
    </fill>
  </fills>
  <borders count="15">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
      <left style="thin">
        <color rgb="00BFBFBF"/>
      </left>
      <top style="thin">
        <color rgb="00BFBFBF"/>
      </top>
    </border>
    <border>
      <right style="thin">
        <color rgb="00BFBFBF"/>
      </right>
      <top style="thin">
        <color rgb="00BFBFBF"/>
      </top>
    </border>
    <border>
      <left style="thin">
        <color rgb="00BFBFBF"/>
      </left>
      <bottom style="thin">
        <color rgb="00BFBFBF"/>
      </bottom>
    </border>
    <border>
      <right style="thin">
        <color rgb="00BFBFBF"/>
      </right>
      <bottom style="thin">
        <color rgb="00BFBFBF"/>
      </bottom>
    </border>
    <border>
      <left style="thin">
        <color rgb="00BFBFBF"/>
      </left>
      <right style="thin">
        <color rgb="00BFBFBF"/>
      </right>
      <top style="thin">
        <color rgb="00BFBFBF"/>
      </top>
    </border>
    <border>
      <left style="thin">
        <color rgb="00BFBFBF"/>
      </left>
      <right style="thin">
        <color rgb="00BFBFBF"/>
      </right>
      <bottom style="thin">
        <color rgb="00BFBFBF"/>
      </bottom>
    </border>
    <border>
      <left/>
      <right style="thin">
        <color rgb="00BFBFBF"/>
      </right>
      <top/>
      <bottom/>
      <diagonal/>
    </border>
    <border>
      <left/>
      <right style="thin">
        <color rgb="00BFBFBF"/>
      </right>
      <top/>
      <bottom style="thin">
        <color rgb="00BFBFBF"/>
      </bottom>
      <diagonal/>
    </border>
    <border>
      <top style="medium">
        <color rgb="001F3864"/>
      </top>
      <bottom style="medium">
        <color rgb="001F3864"/>
      </bottom>
    </border>
  </borders>
  <cellStyleXfs count="1">
    <xf numFmtId="0" fontId="0" fillId="0" borderId="0"/>
  </cellStyleXfs>
  <cellXfs count="44">
    <xf numFmtId="0" fontId="0" fillId="0" borderId="0" pivotButton="0" quotePrefix="0" xfId="0"/>
    <xf numFmtId="0" fontId="1" fillId="0" borderId="0" pivotButton="0" quotePrefix="0" xfId="0"/>
    <xf numFmtId="0" fontId="2" fillId="0" borderId="0" applyAlignment="1" pivotButton="0" quotePrefix="0" xfId="0">
      <alignment vertical="top" wrapText="1"/>
    </xf>
    <xf numFmtId="0" fontId="9" fillId="4" borderId="10" applyAlignment="1" pivotButton="0" quotePrefix="0" xfId="0">
      <alignment horizontal="center" vertical="center"/>
    </xf>
    <xf numFmtId="0" fontId="0" fillId="0" borderId="3" pivotButton="0" quotePrefix="0" xfId="0"/>
    <xf numFmtId="166" fontId="10" fillId="4" borderId="11" applyAlignment="1" pivotButton="0" quotePrefix="0" xfId="0">
      <alignment horizontal="center" vertical="center"/>
    </xf>
    <xf numFmtId="0" fontId="0" fillId="0" borderId="13" pivotButton="0" quotePrefix="0" xfId="0"/>
    <xf numFmtId="167" fontId="10" fillId="4" borderId="11" applyAlignment="1" pivotButton="0" quotePrefix="0" xfId="0">
      <alignment horizontal="center" vertical="center"/>
    </xf>
    <xf numFmtId="1" fontId="10" fillId="4" borderId="11" applyAlignment="1" pivotButton="0" quotePrefix="0" xfId="0">
      <alignment horizontal="center" vertical="center"/>
    </xf>
    <xf numFmtId="0" fontId="2" fillId="0" borderId="0" pivotButton="0" quotePrefix="0" xfId="0"/>
    <xf numFmtId="0" fontId="6" fillId="3" borderId="1" applyAlignment="1" pivotButton="0" quotePrefix="0" xfId="0">
      <alignment horizontal="center" vertical="center" wrapText="1"/>
    </xf>
    <xf numFmtId="0" fontId="5" fillId="2" borderId="1" pivotButton="0" quotePrefix="0" xfId="0"/>
    <xf numFmtId="168" fontId="5" fillId="2" borderId="1" pivotButton="0" quotePrefix="0" xfId="0"/>
    <xf numFmtId="166" fontId="5" fillId="2" borderId="1" pivotButton="0" quotePrefix="0" xfId="0"/>
    <xf numFmtId="164" fontId="4" fillId="0" borderId="1" pivotButton="0" quotePrefix="0" xfId="0"/>
    <xf numFmtId="166" fontId="8" fillId="0" borderId="1" pivotButton="0" quotePrefix="0" xfId="0"/>
    <xf numFmtId="166" fontId="4" fillId="0" borderId="1" pivotButton="0" quotePrefix="0" xfId="0"/>
    <xf numFmtId="167" fontId="4" fillId="0" borderId="1" pivotButton="0" quotePrefix="0" xfId="0"/>
    <xf numFmtId="0" fontId="8" fillId="0" borderId="14" pivotButton="0" quotePrefix="0" xfId="0"/>
    <xf numFmtId="0" fontId="0" fillId="0" borderId="14" pivotButton="0" quotePrefix="0" xfId="0"/>
    <xf numFmtId="167" fontId="8" fillId="0" borderId="1" pivotButton="0" quotePrefix="0" xfId="0"/>
    <xf numFmtId="0" fontId="7" fillId="0" borderId="0" pivotButton="0" quotePrefix="0" xfId="0"/>
    <xf numFmtId="0" fontId="4" fillId="0" borderId="1" pivotButton="0" quotePrefix="0" xfId="0"/>
    <xf numFmtId="168" fontId="4" fillId="0" borderId="1" pivotButton="0" quotePrefix="0" xfId="0"/>
    <xf numFmtId="0" fontId="8" fillId="0" borderId="0" pivotButton="0" quotePrefix="0" xfId="0"/>
    <xf numFmtId="166" fontId="8" fillId="0" borderId="14" pivotButton="0" quotePrefix="0" xfId="0"/>
    <xf numFmtId="167" fontId="8" fillId="0" borderId="14" pivotButton="0" quotePrefix="0" xfId="0"/>
    <xf numFmtId="0" fontId="3" fillId="0" borderId="0" applyAlignment="1" pivotButton="0" quotePrefix="0" xfId="0">
      <alignment/>
    </xf>
    <xf numFmtId="0" fontId="4" fillId="0" borderId="0" pivotButton="0" quotePrefix="0" xfId="0"/>
    <xf numFmtId="1" fontId="5" fillId="2" borderId="1" applyAlignment="1" pivotButton="0" quotePrefix="0" xfId="0">
      <alignment horizontal="center"/>
    </xf>
    <xf numFmtId="0" fontId="4" fillId="0" borderId="1" applyAlignment="1" pivotButton="0" quotePrefix="0" xfId="0">
      <alignment vertical="center"/>
    </xf>
    <xf numFmtId="0" fontId="0" fillId="0" borderId="1" pivotButton="0" quotePrefix="0" xfId="0"/>
    <xf numFmtId="164" fontId="5" fillId="2" borderId="1" pivotButton="0" quotePrefix="0" xfId="0"/>
    <xf numFmtId="164" fontId="8" fillId="0" borderId="1" pivotButton="0" quotePrefix="0" xfId="0"/>
    <xf numFmtId="0" fontId="4" fillId="0" borderId="1" applyAlignment="1" pivotButton="0" quotePrefix="0" xfId="0">
      <alignment horizontal="center"/>
    </xf>
    <xf numFmtId="165" fontId="4" fillId="0" borderId="1" pivotButton="0" quotePrefix="0" xfId="0"/>
    <xf numFmtId="0" fontId="7" fillId="0" borderId="1" pivotButton="0" quotePrefix="0" xfId="0"/>
    <xf numFmtId="0" fontId="1" fillId="0" borderId="0" applyAlignment="1" pivotButton="0" quotePrefix="0" xfId="0">
      <alignment vertical="top" wrapText="1"/>
    </xf>
    <xf numFmtId="0" fontId="11" fillId="0" borderId="0" applyAlignment="1" pivotButton="0" quotePrefix="0" xfId="0">
      <alignment vertical="top" wrapText="1"/>
    </xf>
    <xf numFmtId="0" fontId="4" fillId="0" borderId="0" applyAlignment="1" pivotButton="0" quotePrefix="0" xfId="0">
      <alignment vertical="top" wrapText="1"/>
    </xf>
    <xf numFmtId="0" fontId="12" fillId="3" borderId="0" applyAlignment="1" pivotButton="0" quotePrefix="0" xfId="0">
      <alignment vertical="top" wrapText="1"/>
    </xf>
    <xf numFmtId="169" fontId="4" fillId="0" borderId="1" applyNumberFormat="1" applyAlignment="1" pivotButton="0" quotePrefix="0" xfId="0">
      <alignment horizontal="center"/>
    </xf>
    <xf numFmtId="169" fontId="8" fillId="0" borderId="14" applyNumberFormat="1" applyAlignment="1" pivotButton="0" quotePrefix="0" xfId="0">
      <alignment horizontal="center"/>
    </xf>
    <xf numFmtId="0" fontId="4" fillId="0" borderId="1" applyAlignment="1" pivotButton="0" quotePrefix="0" xfId="0">
      <alignment horizontal="center"/>
    </xf>
  </cellXfs>
  <cellStyles count="1">
    <cellStyle name="Normal" xfId="0" builtinId="0" hidden="0"/>
  </cellStyles>
  <dxfs count="9">
    <dxf>
      <fill>
        <patternFill patternType="solid">
          <fgColor rgb="00C6EFCE"/>
        </patternFill>
      </fill>
    </dxf>
    <dxf>
      <fill>
        <patternFill patternType="solid">
          <fgColor rgb="00FFC7CE"/>
        </patternFill>
      </fill>
    </dxf>
    <dxf>
      <font>
        <color rgb="00006100"/>
      </font>
    </dxf>
    <dxf>
      <font>
        <color rgb="009C0006"/>
      </font>
    </dxf>
    <dxf>
      <fill>
        <patternFill patternType="solid">
          <fgColor rgb="00FFEB9C"/>
        </patternFill>
      </fill>
    </dxf>
    <dxf>
      <fill>
        <patternFill patternType="solid">
          <fgColor rgb="00C6E0B4"/>
          <bgColor rgb="00C6E0B4"/>
        </patternFill>
      </fill>
    </dxf>
    <dxf>
      <fill>
        <patternFill patternType="solid">
          <fgColor rgb="00DDEBF7"/>
          <bgColor rgb="00DDEBF7"/>
        </patternFill>
      </fill>
    </dxf>
    <dxf>
      <fill>
        <patternFill patternType="solid">
          <fgColor rgb="00FFF2CC"/>
          <bgColor rgb="00FFF2CC"/>
        </patternFill>
      </fill>
    </dxf>
    <dxf>
      <fill>
        <patternFill patternType="solid">
          <fgColor rgb="00F8CBAD"/>
          <bgColor rgb="00F8CBA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99"/><Relationship Type="http://schemas.openxmlformats.org/officeDocument/2006/relationships/worksheet" Target="/xl/worksheets/sheet5.xml" Id="rId7"/></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Allocation by coin</a:t>
            </a:r>
          </a:p>
        </rich>
      </tx>
    </title>
    <plotArea>
      <pieChart>
        <varyColors val="1"/>
        <ser>
          <idx val="0"/>
          <order val="0"/>
          <spPr>
            <a:ln xmlns:a="http://schemas.openxmlformats.org/drawingml/2006/main" w="12700">
              <a:solidFill>
                <a:srgbClr val="FFFFFF"/>
              </a:solidFill>
            </a:ln>
          </spPr>
          <dLbls>
            <txPr>
              <a:bodyPr xmlns:a="http://schemas.openxmlformats.org/drawingml/2006/main"/>
              <a:lstStyle xmlns:a="http://schemas.openxmlformats.org/drawingml/2006/main"/>
              <a:p xmlns:a="http://schemas.openxmlformats.org/drawingml/2006/main">
                <a:pPr>
                  <a:defRPr sz="900" b="1"/>
                </a:pPr>
                <a:endParaRPr lang="en-US"/>
              </a:p>
            </txPr>
            <dLblPos val="bestFit"/>
            <showVal val="0"/>
            <showCatName val="1"/>
            <showSerName val="0"/>
            <showPercent val="1"/>
            <showLeaderLines val="1"/>
            <separator val="&#10;"/>
          </dLbls>
          <cat>
            <strRef>
              <f>[0]!PieLabels</f>
            </strRef>
          </cat>
          <val>
            <numRef>
              <f>[0]!PieValues</f>
            </numRef>
          </val>
        </ser>
        <firstSliceAng val="0"/>
      </pieChart>
    </plotArea>
    <plotVisOnly val="0"/>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120000" cy="432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38100</xdr:rowOff>
    </xdr:from>
    <xdr:ext cx="1645920" cy="274320"/>
    <xdr:sp macro="[0]!RefreshPrices" textlink="">
      <xdr:nvSpPr>
        <xdr:cNvPr id="2" name="Refresh Prices Button" descr="Click to fetch fresh prices from CoinGecko"/>
        <xdr:cNvSpPr/>
      </xdr:nvSpPr>
      <xdr:spPr>
        <a:xfrm>
          <a:off x="0" y="0"/>
          <a:ext cx="1645920" cy="274320"/>
        </a:xfrm>
        <a:prstGeom prst="roundRect">
          <a:avLst/>
        </a:prstGeom>
        <a:solidFill>
          <a:srgbClr val="1F3864"/>
        </a:solidFill>
        <a:ln w="9525">
          <a:solidFill>
            <a:srgbClr val="0F1F3D"/>
          </a:solidFill>
        </a:ln>
      </xdr:spPr>
      <xdr:txBody>
        <a:bodyPr vertOverflow="clip" horzOverflow="clip" wrap="none" lIns="0" rIns="0" tIns="0" bIns="0" rtlCol="0" anchor="ctr"/>
        <a:lstStyle/>
        <a:p>
          <a:pPr algn="ctr"/>
          <a:r>
            <a:rPr lang="en-US" sz="1100" b="1">
              <a:solidFill>
                <a:srgbClr val="FFFFFF"/>
              </a:solidFill>
              <a:latin typeface="Arial"/>
              <a:cs typeface="Arial"/>
            </a:rPr>
            <a:t>↻  Refresh Prices</a:t>
          </a: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sheetPr>
    <outlinePr summaryBelow="1" summaryRight="1"/>
    <pageSetUpPr fitToPage="1"/>
  </sheetPr>
  <dimension ref="A1:L70"/>
  <sheetViews>
    <sheetView workbookViewId="0">
      <pane ySplit="9" topLeftCell="A10" activePane="bottomLeft" state="frozen"/>
      <selection pane="bottomLeft" activeCell="A1" sqref="A1"/>
    </sheetView>
  </sheetViews>
  <sheetFormatPr baseColWidth="8" defaultRowHeight="15"/>
  <cols>
    <col width="14" customWidth="1" min="1" max="1"/>
    <col width="10" customWidth="1" min="2" max="2"/>
    <col width="16" customWidth="1" min="3" max="3"/>
    <col width="15" customWidth="1" min="4" max="4"/>
    <col width="17" customWidth="1" min="5" max="5"/>
    <col width="15" customWidth="1" min="6" max="6"/>
    <col width="15" customWidth="1" min="7" max="7"/>
    <col width="17" customWidth="1" min="8" max="8"/>
    <col width="10" customWidth="1" min="9" max="9"/>
    <col width="30" customWidth="1" min="10" max="10"/>
    <col width="15" customWidth="1" min="11" max="11"/>
    <col width="10" customWidth="1" min="12" max="12"/>
  </cols>
  <sheetData>
    <row r="1">
      <c r="A1" s="1" t="inlineStr">
        <is>
          <t>Crypto Portfolio</t>
        </is>
      </c>
    </row>
    <row r="2">
      <c r="A2" s="2" t="inlineStr">
        <is>
          <t>Yellow cells with blue text are yours to fill in. One row per coin per location. Total cost = everything you paid for that holding, fees included.</t>
        </is>
      </c>
    </row>
    <row r="4" ht="18" customHeight="1">
      <c r="A4" s="3" t="inlineStr">
        <is>
          <t>Total value</t>
        </is>
      </c>
      <c r="B4" s="4" t="n"/>
      <c r="C4" s="3" t="inlineStr">
        <is>
          <t>Total cost (entered)</t>
        </is>
      </c>
      <c r="D4" s="4" t="n"/>
      <c r="E4" s="3" t="inlineStr">
        <is>
          <t>Unrealized P&amp;L</t>
        </is>
      </c>
      <c r="F4" s="4" t="n"/>
      <c r="G4" s="3" t="inlineStr">
        <is>
          <t>Return on cost</t>
        </is>
      </c>
      <c r="H4" s="4" t="n"/>
      <c r="I4" s="3" t="inlineStr">
        <is>
          <t>Holdings missing a cost</t>
        </is>
      </c>
      <c r="J4" s="4" t="n"/>
    </row>
    <row r="5" ht="24" customHeight="1">
      <c r="A5" s="5">
        <f>SUM($G$10:$G$69)</f>
        <v/>
      </c>
      <c r="B5" s="6" t="n"/>
      <c r="C5" s="5">
        <f>SUM($D$10:$D$69)</f>
        <v/>
      </c>
      <c r="D5" s="6" t="n"/>
      <c r="E5" s="5">
        <f>SUM($H$10:$H$69)</f>
        <v/>
      </c>
      <c r="F5" s="6" t="n"/>
      <c r="G5" s="7">
        <f>IFERROR(SUM($H$10:$H$69)/SUMPRODUCT(--ISNUMBER($H$10:$H$69),$D$10:$D$69),"")</f>
        <v/>
      </c>
      <c r="H5" s="6" t="n"/>
      <c r="I5" s="8">
        <f>COUNTIFS($B$10:$B$69,"&lt;&gt;",$D$10:$D$69,"")</f>
        <v/>
      </c>
      <c r="J5" s="6" t="n"/>
    </row>
    <row r="6">
      <c r="A6" s="9">
        <f>IF(Prices!$B$3="","Prices: offline (manual prices in use)",Prices!$B$5&amp;IF(COUNTIF(Prices!$G$8:$G$41,"Live")=0,"","   ·   prices as of "&amp;TEXT(_xlfn.MAXIFS(Prices!$H$8:$H$41,Prices!$G$8:$G$41,"Live"),"m/d/yyyy h:mm")))</f>
        <v/>
      </c>
    </row>
    <row r="9" ht="30" customHeight="1">
      <c r="A9" s="10" t="inlineStr">
        <is>
          <t>Location</t>
        </is>
      </c>
      <c r="B9" s="10" t="inlineStr">
        <is>
          <t>Coin</t>
        </is>
      </c>
      <c r="C9" s="10" t="inlineStr">
        <is>
          <t>Quantity</t>
        </is>
      </c>
      <c r="D9" s="10" t="inlineStr">
        <is>
          <t>Total cost ($)</t>
        </is>
      </c>
      <c r="E9" s="10" t="inlineStr">
        <is>
          <t>Avg cost per coin ($)</t>
        </is>
      </c>
      <c r="F9" s="10" t="inlineStr">
        <is>
          <t>Price ($)</t>
        </is>
      </c>
      <c r="G9" s="10" t="inlineStr">
        <is>
          <t>Value ($)</t>
        </is>
      </c>
      <c r="H9" s="10" t="inlineStr">
        <is>
          <t>Unrealized P&amp;L ($)</t>
        </is>
      </c>
      <c r="I9" s="10" t="inlineStr">
        <is>
          <t>Return %</t>
        </is>
      </c>
      <c r="J9" s="10" t="inlineStr">
        <is>
          <t>Notes</t>
        </is>
      </c>
      <c r="K9" s="10" t="inlineStr">
        <is>
          <t xml:space="preserve">Rating tier</t>
        </is>
      </c>
      <c r="L9" s="10" t="inlineStr">
        <is>
          <t xml:space="preserve">Rating score</t>
        </is>
      </c>
    </row>
    <row r="10">
      <c r="A10" s="11" t="inlineStr">
        <is>
          <t>Coinbase</t>
        </is>
      </c>
      <c r="B10" s="11" t="inlineStr">
        <is>
          <t>USDC</t>
        </is>
      </c>
      <c r="C10" s="12" t="n">
        <v>0</v>
      </c>
      <c r="D10" s="13" t="n">
        <v>0</v>
      </c>
      <c r="E10" s="14">
        <f>IF(AND(ISNUMBER(D10),ISNUMBER(C10),C10&gt;0),D10/C10,"")</f>
        <v/>
      </c>
      <c r="F10" s="14">
        <f>IF(B10="","",IFERROR(INDEX(Prices!$F$8:$F$41,MATCH(B10,Prices!$A$8:$A$41,0)),"Add to Prices"))</f>
        <v/>
      </c>
      <c r="G10" s="15">
        <f>IF(OR(NOT(ISNUMBER(C10)),NOT(ISNUMBER(F10))),"",C10*F10)</f>
        <v/>
      </c>
      <c r="H10" s="16">
        <f>IF(AND(ISNUMBER(G10),ISNUMBER(D10)),G10-D10,"")</f>
        <v/>
      </c>
      <c r="I10" s="17">
        <f>IF(AND(ISNUMBER(H10),N(D10)&gt;0),H10/D10,"")</f>
        <v/>
      </c>
      <c r="J10" s="11" t="inlineStr">
        <is>
          <t>None on Coinbase per its history (Oct 2026); was 1</t>
        </is>
      </c>
      <c r="K10" s="43">
        <f>IF(B10="","",IFERROR(INDEX(Ratings!$D$6:$D$39,MATCH(B10,Ratings!$A$6:$A$39,0)),"Not rated"))</f>
        <v/>
      </c>
      <c r="L10" s="41">
        <f>IF(B10="","",IFERROR(INDEX(Ratings!$C$6:$C$39,MATCH(B10,Ratings!$A$6:$A$39,0)),""))</f>
        <v/>
      </c>
    </row>
    <row r="11">
      <c r="A11" s="11" t="inlineStr">
        <is>
          <t>Coinbase</t>
        </is>
      </c>
      <c r="B11" s="11" t="inlineStr">
        <is>
          <t>ETH</t>
        </is>
      </c>
      <c r="C11" s="12" t="n">
        <v>2.007e-05</v>
      </c>
      <c r="D11" s="13" t="n">
        <v>0</v>
      </c>
      <c r="E11" s="14">
        <f>IF(AND(ISNUMBER(D11),ISNUMBER(C11),C11&gt;0),D11/C11,"")</f>
        <v/>
      </c>
      <c r="F11" s="14">
        <f>IF(B11="","",IFERROR(INDEX(Prices!$F$8:$F$41,MATCH(B11,Prices!$A$8:$A$41,0)),"Add to Prices"))</f>
        <v/>
      </c>
      <c r="G11" s="15">
        <f>IF(OR(NOT(ISNUMBER(C11)),NOT(ISNUMBER(F11))),"",C11*F11)</f>
        <v/>
      </c>
      <c r="H11" s="16">
        <f>IF(AND(ISNUMBER(G11),ISNUMBER(D11)),G11-D11,"")</f>
        <v/>
      </c>
      <c r="I11" s="17">
        <f>IF(AND(ISNUMBER(H11),N(D11)&gt;0),H11/D11,"")</f>
        <v/>
      </c>
      <c r="J11" s="11" t="inlineStr">
        <is>
          <t>Coinbase ETH staking rewards ($0). Was listed as STETH</t>
        </is>
      </c>
      <c r="K11" s="43">
        <f>IF(B11="","",IFERROR(INDEX(Ratings!$D$6:$D$39,MATCH(B11,Ratings!$A$6:$A$39,0)),"Not rated"))</f>
        <v/>
      </c>
      <c r="L11" s="41">
        <f>IF(B11="","",IFERROR(INDEX(Ratings!$C$6:$C$39,MATCH(B11,Ratings!$A$6:$A$39,0)),""))</f>
        <v/>
      </c>
    </row>
    <row r="12">
      <c r="A12" s="11" t="inlineStr">
        <is>
          <t>Ledger</t>
        </is>
      </c>
      <c r="B12" s="11" t="inlineStr">
        <is>
          <t>BTC</t>
        </is>
      </c>
      <c r="C12" s="12" t="n">
        <v>0.00240782</v>
      </c>
      <c r="D12" s="13" t="n">
        <v>167.47</v>
      </c>
      <c r="E12" s="14">
        <f>IF(AND(ISNUMBER(D12),ISNUMBER(C12),C12&gt;0),D12/C12,"")</f>
        <v/>
      </c>
      <c r="F12" s="14">
        <f>IF(B12="","",IFERROR(INDEX(Prices!$F$8:$F$41,MATCH(B12,Prices!$A$8:$A$41,0)),"Add to Prices"))</f>
        <v/>
      </c>
      <c r="G12" s="15">
        <f>IF(OR(NOT(ISNUMBER(C12)),NOT(ISNUMBER(F12))),"",C12*F12)</f>
        <v/>
      </c>
      <c r="H12" s="16">
        <f>IF(AND(ISNUMBER(G12),ISNUMBER(D12)),G12-D12,"")</f>
        <v/>
      </c>
      <c r="I12" s="17">
        <f>IF(AND(ISNUMBER(H12),N(D12)&gt;0),H12/D12,"")</f>
        <v/>
      </c>
      <c r="J12" s="11" t="inlineStr">
        <is>
          <t>Coinbase: $20 buy + coins converted to BTC (value on the day); referral bonus $0</t>
        </is>
      </c>
      <c r="K12" s="43">
        <f>IF(B12="","",IFERROR(INDEX(Ratings!$D$6:$D$39,MATCH(B12,Ratings!$A$6:$A$39,0)),"Not rated"))</f>
        <v/>
      </c>
      <c r="L12" s="41">
        <f>IF(B12="","",IFERROR(INDEX(Ratings!$C$6:$C$39,MATCH(B12,Ratings!$A$6:$A$39,0)),""))</f>
        <v/>
      </c>
    </row>
    <row r="13">
      <c r="A13" s="11" t="inlineStr">
        <is>
          <t>Ledger</t>
        </is>
      </c>
      <c r="B13" s="11" t="inlineStr">
        <is>
          <t>LTC</t>
        </is>
      </c>
      <c r="C13" s="12" t="n">
        <v>0.17683</v>
      </c>
      <c r="D13" s="13" t="n">
        <v>20</v>
      </c>
      <c r="E13" s="14">
        <f>IF(AND(ISNUMBER(D13),ISNUMBER(C13),C13&gt;0),D13/C13,"")</f>
        <v/>
      </c>
      <c r="F13" s="14">
        <f>IF(B13="","",IFERROR(INDEX(Prices!$F$8:$F$41,MATCH(B13,Prices!$A$8:$A$41,0)),"Add to Prices"))</f>
        <v/>
      </c>
      <c r="G13" s="15">
        <f>IF(OR(NOT(ISNUMBER(C13)),NOT(ISNUMBER(F13))),"",C13*F13)</f>
        <v/>
      </c>
      <c r="H13" s="16">
        <f>IF(AND(ISNUMBER(G13),ISNUMBER(D13)),G13-D13,"")</f>
        <v/>
      </c>
      <c r="I13" s="17">
        <f>IF(AND(ISNUMBER(H13),N(D13)&gt;0),H13/D13,"")</f>
        <v/>
      </c>
      <c r="J13" s="11" t="inlineStr">
        <is>
          <t>Estimated: $20 buy (no record in exports)</t>
        </is>
      </c>
      <c r="K13" s="43">
        <f>IF(B13="","",IFERROR(INDEX(Ratings!$D$6:$D$39,MATCH(B13,Ratings!$A$6:$A$39,0)),"Not rated"))</f>
        <v/>
      </c>
      <c r="L13" s="41">
        <f>IF(B13="","",IFERROR(INDEX(Ratings!$C$6:$C$39,MATCH(B13,Ratings!$A$6:$A$39,0)),""))</f>
        <v/>
      </c>
    </row>
    <row r="14">
      <c r="A14" s="11" t="inlineStr">
        <is>
          <t>Ledger</t>
        </is>
      </c>
      <c r="B14" s="11" t="inlineStr">
        <is>
          <t>XLM</t>
        </is>
      </c>
      <c r="C14" s="12" t="n">
        <v>176.44144</v>
      </c>
      <c r="D14" s="13" t="n">
        <v>25</v>
      </c>
      <c r="E14" s="14">
        <f>IF(AND(ISNUMBER(D14),ISNUMBER(C14),C14&gt;0),D14/C14,"")</f>
        <v/>
      </c>
      <c r="F14" s="14">
        <f>IF(B14="","",IFERROR(INDEX(Prices!$F$8:$F$41,MATCH(B14,Prices!$A$8:$A$41,0)),"Add to Prices"))</f>
        <v/>
      </c>
      <c r="G14" s="15">
        <f>IF(OR(NOT(ISNUMBER(C14)),NOT(ISNUMBER(F14))),"",C14*F14)</f>
        <v/>
      </c>
      <c r="H14" s="16">
        <f>IF(AND(ISNUMBER(G14),ISNUMBER(D14)),G14-D14,"")</f>
        <v/>
      </c>
      <c r="I14" s="17">
        <f>IF(AND(ISNUMBER(H14),N(D14)&gt;0),H14/D14,"")</f>
        <v/>
      </c>
      <c r="J14" s="11" t="inlineStr">
        <is>
          <t>Kraken $25 (Aug 2026) + 51.36 gift from son ($0)</t>
        </is>
      </c>
      <c r="K14" s="43">
        <f>IF(B14="","",IFERROR(INDEX(Ratings!$D$6:$D$39,MATCH(B14,Ratings!$A$6:$A$39,0)),"Not rated"))</f>
        <v/>
      </c>
      <c r="L14" s="41">
        <f>IF(B14="","",IFERROR(INDEX(Ratings!$C$6:$C$39,MATCH(B14,Ratings!$A$6:$A$39,0)),""))</f>
        <v/>
      </c>
    </row>
    <row r="15">
      <c r="A15" s="11" t="inlineStr">
        <is>
          <t>Ledger</t>
        </is>
      </c>
      <c r="B15" s="11" t="inlineStr">
        <is>
          <t>NEAR</t>
        </is>
      </c>
      <c r="C15" s="12" t="n">
        <v>6.47369</v>
      </c>
      <c r="D15" s="13" t="n">
        <v>20</v>
      </c>
      <c r="E15" s="14">
        <f>IF(AND(ISNUMBER(D15),ISNUMBER(C15),C15&gt;0),D15/C15,"")</f>
        <v/>
      </c>
      <c r="F15" s="14">
        <f>IF(B15="","",IFERROR(INDEX(Prices!$F$8:$F$41,MATCH(B15,Prices!$A$8:$A$41,0)),"Add to Prices"))</f>
        <v/>
      </c>
      <c r="G15" s="15">
        <f>IF(OR(NOT(ISNUMBER(C15)),NOT(ISNUMBER(F15))),"",C15*F15)</f>
        <v/>
      </c>
      <c r="H15" s="16">
        <f>IF(AND(ISNUMBER(G15),ISNUMBER(D15)),G15-D15,"")</f>
        <v/>
      </c>
      <c r="I15" s="17">
        <f>IF(AND(ISNUMBER(H15),N(D15)&gt;0),H15/D15,"")</f>
        <v/>
      </c>
      <c r="J15" s="11" t="inlineStr">
        <is>
          <t>Estimated: $20 buy (no record in exports); extra is staking rewards ($0)</t>
        </is>
      </c>
      <c r="K15" s="43">
        <f>IF(B15="","",IFERROR(INDEX(Ratings!$D$6:$D$39,MATCH(B15,Ratings!$A$6:$A$39,0)),"Not rated"))</f>
        <v/>
      </c>
      <c r="L15" s="41">
        <f>IF(B15="","",IFERROR(INDEX(Ratings!$C$6:$C$39,MATCH(B15,Ratings!$A$6:$A$39,0)),""))</f>
        <v/>
      </c>
    </row>
    <row r="16">
      <c r="A16" s="11" t="inlineStr">
        <is>
          <t>Ledger</t>
        </is>
      </c>
      <c r="B16" s="11" t="inlineStr">
        <is>
          <t>HBAR</t>
        </is>
      </c>
      <c r="C16" s="12" t="n">
        <v>83.41589999999999</v>
      </c>
      <c r="D16" s="13" t="n">
        <v>20</v>
      </c>
      <c r="E16" s="14">
        <f>IF(AND(ISNUMBER(D16),ISNUMBER(C16),C16&gt;0),D16/C16,"")</f>
        <v/>
      </c>
      <c r="F16" s="14">
        <f>IF(B16="","",IFERROR(INDEX(Prices!$F$8:$F$41,MATCH(B16,Prices!$A$8:$A$41,0)),"Add to Prices"))</f>
        <v/>
      </c>
      <c r="G16" s="15">
        <f>IF(OR(NOT(ISNUMBER(C16)),NOT(ISNUMBER(F16))),"",C16*F16)</f>
        <v/>
      </c>
      <c r="H16" s="16">
        <f>IF(AND(ISNUMBER(G16),ISNUMBER(D16)),G16-D16,"")</f>
        <v/>
      </c>
      <c r="I16" s="17">
        <f>IF(AND(ISNUMBER(H16),N(D16)&gt;0),H16/D16,"")</f>
        <v/>
      </c>
      <c r="J16" s="11" t="inlineStr">
        <is>
          <t>Estimated: $20 buy (no record in exports)</t>
        </is>
      </c>
      <c r="K16" s="43">
        <f>IF(B16="","",IFERROR(INDEX(Ratings!$D$6:$D$39,MATCH(B16,Ratings!$A$6:$A$39,0)),"Not rated"))</f>
        <v/>
      </c>
      <c r="L16" s="41">
        <f>IF(B16="","",IFERROR(INDEX(Ratings!$C$6:$C$39,MATCH(B16,Ratings!$A$6:$A$39,0)),""))</f>
        <v/>
      </c>
    </row>
    <row r="17">
      <c r="A17" s="11" t="inlineStr">
        <is>
          <t>Ledger</t>
        </is>
      </c>
      <c r="B17" s="11" t="inlineStr">
        <is>
          <t>ETH</t>
        </is>
      </c>
      <c r="C17" s="12" t="n">
        <v>0.00015592</v>
      </c>
      <c r="D17" s="13" t="n">
        <v>0.55</v>
      </c>
      <c r="E17" s="14">
        <f>IF(AND(ISNUMBER(D17),ISNUMBER(C17),C17&gt;0),D17/C17,"")</f>
        <v/>
      </c>
      <c r="F17" s="14">
        <f>IF(B17="","",IFERROR(INDEX(Prices!$F$8:$F$41,MATCH(B17,Prices!$A$8:$A$41,0)),"Add to Prices"))</f>
        <v/>
      </c>
      <c r="G17" s="15">
        <f>IF(OR(NOT(ISNUMBER(C17)),NOT(ISNUMBER(F17))),"",C17*F17)</f>
        <v/>
      </c>
      <c r="H17" s="16">
        <f>IF(AND(ISNUMBER(G17),ISNUMBER(D17)),G17-D17,"")</f>
        <v/>
      </c>
      <c r="I17" s="17">
        <f>IF(AND(ISNUMBER(H17),N(D17)&gt;0),H17/D17,"")</f>
        <v/>
      </c>
      <c r="J17" s="11" t="inlineStr">
        <is>
          <t>Share of Coinbase ETH ($42.40) left after Lido stake</t>
        </is>
      </c>
      <c r="K17" s="43">
        <f>IF(B17="","",IFERROR(INDEX(Ratings!$D$6:$D$39,MATCH(B17,Ratings!$A$6:$A$39,0)),"Not rated"))</f>
        <v/>
      </c>
      <c r="L17" s="41">
        <f>IF(B17="","",IFERROR(INDEX(Ratings!$C$6:$C$39,MATCH(B17,Ratings!$A$6:$A$39,0)),""))</f>
        <v/>
      </c>
    </row>
    <row r="18">
      <c r="A18" s="11" t="inlineStr">
        <is>
          <t>Ledger</t>
        </is>
      </c>
      <c r="B18" s="11" t="inlineStr">
        <is>
          <t>STETH</t>
        </is>
      </c>
      <c r="C18" s="12" t="n">
        <v>0.0119341</v>
      </c>
      <c r="D18" s="13" t="n">
        <v>41.85</v>
      </c>
      <c r="E18" s="14">
        <f>IF(AND(ISNUMBER(D18),ISNUMBER(C18),C18&gt;0),D18/C18,"")</f>
        <v/>
      </c>
      <c r="F18" s="14">
        <f>IF(B18="","",IFERROR(INDEX(Prices!$F$8:$F$41,MATCH(B18,Prices!$A$8:$A$41,0)),"Add to Prices"))</f>
        <v/>
      </c>
      <c r="G18" s="15">
        <f>IF(OR(NOT(ISNUMBER(C18)),NOT(ISNUMBER(F18))),"",C18*F18)</f>
        <v/>
      </c>
      <c r="H18" s="16">
        <f>IF(AND(ISNUMBER(G18),ISNUMBER(D18)),G18-D18,"")</f>
        <v/>
      </c>
      <c r="I18" s="17">
        <f>IF(AND(ISNUMBER(H18),N(D18)&gt;0),H18/D18,"")</f>
        <v/>
      </c>
      <c r="J18" s="11" t="inlineStr">
        <is>
          <t>Coinbase ETH staked via Lido; growth is rewards ($0)</t>
        </is>
      </c>
      <c r="K18" s="43">
        <f>IF(B18="","",IFERROR(INDEX(Ratings!$D$6:$D$39,MATCH(B18,Ratings!$A$6:$A$39,0)),"Not rated"))</f>
        <v/>
      </c>
      <c r="L18" s="41">
        <f>IF(B18="","",IFERROR(INDEX(Ratings!$C$6:$C$39,MATCH(B18,Ratings!$A$6:$A$39,0)),""))</f>
        <v/>
      </c>
    </row>
    <row r="19">
      <c r="A19" s="11" t="inlineStr">
        <is>
          <t>Ledger</t>
        </is>
      </c>
      <c r="B19" s="11" t="inlineStr">
        <is>
          <t>PAXG</t>
        </is>
      </c>
      <c r="C19" s="12" t="n">
        <v>0.00452507</v>
      </c>
      <c r="D19" s="13" t="n">
        <v>20</v>
      </c>
      <c r="E19" s="14">
        <f>IF(AND(ISNUMBER(D19),ISNUMBER(C19),C19&gt;0),D19/C19,"")</f>
        <v/>
      </c>
      <c r="F19" s="14">
        <f>IF(B19="","",IFERROR(INDEX(Prices!$F$8:$F$41,MATCH(B19,Prices!$A$8:$A$41,0)),"Add to Prices"))</f>
        <v/>
      </c>
      <c r="G19" s="15">
        <f>IF(OR(NOT(ISNUMBER(C19)),NOT(ISNUMBER(F19))),"",C19*F19)</f>
        <v/>
      </c>
      <c r="H19" s="16">
        <f>IF(AND(ISNUMBER(G19),ISNUMBER(D19)),G19-D19,"")</f>
        <v/>
      </c>
      <c r="I19" s="17">
        <f>IF(AND(ISNUMBER(H19),N(D19)&gt;0),H19/D19,"")</f>
        <v/>
      </c>
      <c r="J19" s="11" t="inlineStr">
        <is>
          <t>Estimated: $20 buy (no record in exports)</t>
        </is>
      </c>
      <c r="K19" s="43">
        <f>IF(B19="","",IFERROR(INDEX(Ratings!$D$6:$D$39,MATCH(B19,Ratings!$A$6:$A$39,0)),"Not rated"))</f>
        <v/>
      </c>
      <c r="L19" s="41">
        <f>IF(B19="","",IFERROR(INDEX(Ratings!$C$6:$C$39,MATCH(B19,Ratings!$A$6:$A$39,0)),""))</f>
        <v/>
      </c>
    </row>
    <row r="20">
      <c r="A20" s="11" t="inlineStr">
        <is>
          <t>Ledger</t>
        </is>
      </c>
      <c r="B20" s="11" t="inlineStr">
        <is>
          <t>LINK</t>
        </is>
      </c>
      <c r="C20" s="12" t="n">
        <v>0.820711</v>
      </c>
      <c r="D20" s="13" t="n">
        <v>20</v>
      </c>
      <c r="E20" s="14">
        <f>IF(AND(ISNUMBER(D20),ISNUMBER(C20),C20&gt;0),D20/C20,"")</f>
        <v/>
      </c>
      <c r="F20" s="14">
        <f>IF(B20="","",IFERROR(INDEX(Prices!$F$8:$F$41,MATCH(B20,Prices!$A$8:$A$41,0)),"Add to Prices"))</f>
        <v/>
      </c>
      <c r="G20" s="15">
        <f>IF(OR(NOT(ISNUMBER(C20)),NOT(ISNUMBER(F20))),"",C20*F20)</f>
        <v/>
      </c>
      <c r="H20" s="16">
        <f>IF(AND(ISNUMBER(G20),ISNUMBER(D20)),G20-D20,"")</f>
        <v/>
      </c>
      <c r="I20" s="17">
        <f>IF(AND(ISNUMBER(H20),N(D20)&gt;0),H20/D20,"")</f>
        <v/>
      </c>
      <c r="J20" s="11" t="inlineStr">
        <is>
          <t>Estimated: $20 buy (no record in exports)</t>
        </is>
      </c>
      <c r="K20" s="43">
        <f>IF(B20="","",IFERROR(INDEX(Ratings!$D$6:$D$39,MATCH(B20,Ratings!$A$6:$A$39,0)),"Not rated"))</f>
        <v/>
      </c>
      <c r="L20" s="41">
        <f>IF(B20="","",IFERROR(INDEX(Ratings!$C$6:$C$39,MATCH(B20,Ratings!$A$6:$A$39,0)),""))</f>
        <v/>
      </c>
    </row>
    <row r="21">
      <c r="A21" s="11" t="inlineStr">
        <is>
          <t>Ledger</t>
        </is>
      </c>
      <c r="B21" s="11" t="inlineStr">
        <is>
          <t>ENA</t>
        </is>
      </c>
      <c r="C21" s="12" t="n">
        <v>41.6004</v>
      </c>
      <c r="D21" s="13" t="n">
        <v>20</v>
      </c>
      <c r="E21" s="14">
        <f>IF(AND(ISNUMBER(D21),ISNUMBER(C21),C21&gt;0),D21/C21,"")</f>
        <v/>
      </c>
      <c r="F21" s="14">
        <f>IF(B21="","",IFERROR(INDEX(Prices!$F$8:$F$41,MATCH(B21,Prices!$A$8:$A$41,0)),"Add to Prices"))</f>
        <v/>
      </c>
      <c r="G21" s="15">
        <f>IF(OR(NOT(ISNUMBER(C21)),NOT(ISNUMBER(F21))),"",C21*F21)</f>
        <v/>
      </c>
      <c r="H21" s="16">
        <f>IF(AND(ISNUMBER(G21),ISNUMBER(D21)),G21-D21,"")</f>
        <v/>
      </c>
      <c r="I21" s="17">
        <f>IF(AND(ISNUMBER(H21),N(D21)&gt;0),H21/D21,"")</f>
        <v/>
      </c>
      <c r="J21" s="11" t="inlineStr">
        <is>
          <t>Estimated: $20 buy (no record in exports)</t>
        </is>
      </c>
      <c r="K21" s="43">
        <f>IF(B21="","",IFERROR(INDEX(Ratings!$D$6:$D$39,MATCH(B21,Ratings!$A$6:$A$39,0)),"Not rated"))</f>
        <v/>
      </c>
      <c r="L21" s="41">
        <f>IF(B21="","",IFERROR(INDEX(Ratings!$C$6:$C$39,MATCH(B21,Ratings!$A$6:$A$39,0)),""))</f>
        <v/>
      </c>
    </row>
    <row r="22">
      <c r="A22" s="11" t="inlineStr">
        <is>
          <t>Ledger</t>
        </is>
      </c>
      <c r="B22" s="11" t="inlineStr">
        <is>
          <t>AVAX</t>
        </is>
      </c>
      <c r="C22" s="12" t="n">
        <v>0.0004521</v>
      </c>
      <c r="D22" s="13" t="n">
        <v>0.01</v>
      </c>
      <c r="E22" s="14">
        <f>IF(AND(ISNUMBER(D22),ISNUMBER(C22),C22&gt;0),D22/C22,"")</f>
        <v/>
      </c>
      <c r="F22" s="14">
        <f>IF(B22="","",IFERROR(INDEX(Prices!$F$8:$F$41,MATCH(B22,Prices!$A$8:$A$41,0)),"Add to Prices"))</f>
        <v/>
      </c>
      <c r="G22" s="15">
        <f>IF(OR(NOT(ISNUMBER(C22)),NOT(ISNUMBER(F22))),"",C22*F22)</f>
        <v/>
      </c>
      <c r="H22" s="16">
        <f>IF(AND(ISNUMBER(G22),ISNUMBER(D22)),G22-D22,"")</f>
        <v/>
      </c>
      <c r="I22" s="17">
        <f>IF(AND(ISNUMBER(H22),N(D22)&gt;0),H22/D22,"")</f>
        <v/>
      </c>
      <c r="J22" s="11" t="inlineStr">
        <is>
          <t>Leftover of $20 AVAX (estimated) after SAVAX swap</t>
        </is>
      </c>
      <c r="K22" s="43">
        <f>IF(B22="","",IFERROR(INDEX(Ratings!$D$6:$D$39,MATCH(B22,Ratings!$A$6:$A$39,0)),"Not rated"))</f>
        <v/>
      </c>
      <c r="L22" s="41">
        <f>IF(B22="","",IFERROR(INDEX(Ratings!$C$6:$C$39,MATCH(B22,Ratings!$A$6:$A$39,0)),""))</f>
        <v/>
      </c>
    </row>
    <row r="23">
      <c r="A23" s="11" t="inlineStr">
        <is>
          <t>Ledger</t>
        </is>
      </c>
      <c r="B23" s="11" t="inlineStr">
        <is>
          <t>SAVAX</t>
        </is>
      </c>
      <c r="C23" s="12" t="n">
        <v>0.540001</v>
      </c>
      <c r="D23" s="13" t="n">
        <v>19.99</v>
      </c>
      <c r="E23" s="14">
        <f>IF(AND(ISNUMBER(D23),ISNUMBER(C23),C23&gt;0),D23/C23,"")</f>
        <v/>
      </c>
      <c r="F23" s="14">
        <f>IF(B23="","",IFERROR(INDEX(Prices!$F$8:$F$41,MATCH(B23,Prices!$A$8:$A$41,0)),"Add to Prices"))</f>
        <v/>
      </c>
      <c r="G23" s="15">
        <f>IF(OR(NOT(ISNUMBER(C23)),NOT(ISNUMBER(F23))),"",C23*F23)</f>
        <v/>
      </c>
      <c r="H23" s="16">
        <f>IF(AND(ISNUMBER(G23),ISNUMBER(D23)),G23-D23,"")</f>
        <v/>
      </c>
      <c r="I23" s="17">
        <f>IF(AND(ISNUMBER(H23),N(D23)&gt;0),H23/D23,"")</f>
        <v/>
      </c>
      <c r="J23" s="11" t="inlineStr">
        <is>
          <t>From $20 AVAX (estimated), swapped to SAVAX</t>
        </is>
      </c>
      <c r="K23" s="43">
        <f>IF(B23="","",IFERROR(INDEX(Ratings!$D$6:$D$39,MATCH(B23,Ratings!$A$6:$A$39,0)),"Not rated"))</f>
        <v/>
      </c>
      <c r="L23" s="41">
        <f>IF(B23="","",IFERROR(INDEX(Ratings!$C$6:$C$39,MATCH(B23,Ratings!$A$6:$A$39,0)),""))</f>
        <v/>
      </c>
    </row>
    <row r="24">
      <c r="A24" s="11" t="inlineStr">
        <is>
          <t>Ledger</t>
        </is>
      </c>
      <c r="B24" s="11" t="inlineStr">
        <is>
          <t>SOL</t>
        </is>
      </c>
      <c r="C24" s="12" t="n">
        <v>0.22984349</v>
      </c>
      <c r="D24" s="13" t="n">
        <v>20</v>
      </c>
      <c r="E24" s="14">
        <f>IF(AND(ISNUMBER(D24),ISNUMBER(C24),C24&gt;0),D24/C24,"")</f>
        <v/>
      </c>
      <c r="F24" s="14">
        <f>IF(B24="","",IFERROR(INDEX(Prices!$F$8:$F$41,MATCH(B24,Prices!$A$8:$A$41,0)),"Add to Prices"))</f>
        <v/>
      </c>
      <c r="G24" s="15">
        <f>IF(OR(NOT(ISNUMBER(C24)),NOT(ISNUMBER(F24))),"",C24*F24)</f>
        <v/>
      </c>
      <c r="H24" s="16">
        <f>IF(AND(ISNUMBER(G24),ISNUMBER(D24)),G24-D24,"")</f>
        <v/>
      </c>
      <c r="I24" s="17">
        <f>IF(AND(ISNUMBER(H24),N(D24)&gt;0),H24/D24,"")</f>
        <v/>
      </c>
      <c r="J24" s="11" t="inlineStr">
        <is>
          <t>Kraken $20 (Mar 2026); extra is staking rewards ($0)</t>
        </is>
      </c>
      <c r="K24" s="43">
        <f>IF(B24="","",IFERROR(INDEX(Ratings!$D$6:$D$39,MATCH(B24,Ratings!$A$6:$A$39,0)),"Not rated"))</f>
        <v/>
      </c>
      <c r="L24" s="41">
        <f>IF(B24="","",IFERROR(INDEX(Ratings!$C$6:$C$39,MATCH(B24,Ratings!$A$6:$A$39,0)),""))</f>
        <v/>
      </c>
    </row>
    <row r="25">
      <c r="A25" s="11" t="inlineStr">
        <is>
          <t>Bank</t>
        </is>
      </c>
      <c r="B25" s="11" t="inlineStr">
        <is>
          <t>Cash</t>
        </is>
      </c>
      <c r="C25" s="12" t="n">
        <v>50</v>
      </c>
      <c r="D25" s="13" t="n">
        <v>50</v>
      </c>
      <c r="E25" s="14">
        <f>IF(AND(ISNUMBER(D25),ISNUMBER(C25),C25&gt;0),D25/C25,"")</f>
        <v/>
      </c>
      <c r="F25" s="14">
        <f>IF(B25="","",IFERROR(INDEX(Prices!$F$8:$F$41,MATCH(B25,Prices!$A$8:$A$41,0)),"Add to Prices"))</f>
        <v/>
      </c>
      <c r="G25" s="15">
        <f>IF(OR(NOT(ISNUMBER(C25)),NOT(ISNUMBER(F25))),"",C25*F25)</f>
        <v/>
      </c>
      <c r="H25" s="16">
        <f>IF(AND(ISNUMBER(G25),ISNUMBER(D25)),G25-D25,"")</f>
        <v/>
      </c>
      <c r="I25" s="17">
        <f>IF(AND(ISNUMBER(H25),N(D25)&gt;0),H25/D25,"")</f>
        <v/>
      </c>
      <c r="J25" s="11" t="n"/>
      <c r="K25" s="43">
        <f>IF(B25="","",IFERROR(INDEX(Ratings!$D$6:$D$39,MATCH(B25,Ratings!$A$6:$A$39,0)),"Not rated"))</f>
        <v/>
      </c>
      <c r="L25" s="41">
        <f>IF(B25="","",IFERROR(INDEX(Ratings!$C$6:$C$39,MATCH(B25,Ratings!$A$6:$A$39,0)),""))</f>
        <v/>
      </c>
    </row>
    <row r="26">
      <c r="A26" s="11" t="inlineStr">
        <is>
          <t>Ledger</t>
        </is>
      </c>
      <c r="B26" s="11" t="inlineStr">
        <is>
          <t>HYPE</t>
        </is>
      </c>
      <c r="C26" s="12" t="n">
        <v>0.5795487</v>
      </c>
      <c r="D26" s="13" t="n">
        <v>24.73</v>
      </c>
      <c r="E26" s="14">
        <f>IF(AND(ISNUMBER(D26),ISNUMBER(C26),C26&gt;0),D26/C26,"")</f>
        <v/>
      </c>
      <c r="F26" s="14">
        <f>IF(B26="","",IFERROR(INDEX(Prices!$F$8:$F$41,MATCH(B26,Prices!$A$8:$A$41,0)),"Add to Prices"))</f>
        <v/>
      </c>
      <c r="G26" s="15">
        <f>IF(OR(NOT(ISNUMBER(C26)),NOT(ISNUMBER(F26))),"",C26*F26)</f>
        <v/>
      </c>
      <c r="H26" s="16">
        <f>IF(AND(ISNUMBER(G26),ISNUMBER(D26)),G26-D26,"")</f>
        <v/>
      </c>
      <c r="I26" s="17">
        <f>IF(AND(ISNUMBER(H26),N(D26)&gt;0),H26/D26,"")</f>
        <v/>
      </c>
      <c r="J26" s="11" t="inlineStr">
        <is>
          <t>Kraken $25 (Mar 2026); 0.0068 HYPE left on Kraken not listed</t>
        </is>
      </c>
      <c r="K26" s="43">
        <f>IF(B26="","",IFERROR(INDEX(Ratings!$D$6:$D$39,MATCH(B26,Ratings!$A$6:$A$39,0)),"Not rated"))</f>
        <v/>
      </c>
      <c r="L26" s="41">
        <f>IF(B26="","",IFERROR(INDEX(Ratings!$C$6:$C$39,MATCH(B26,Ratings!$A$6:$A$39,0)),""))</f>
        <v/>
      </c>
    </row>
    <row r="27">
      <c r="A27" s="11" t="inlineStr">
        <is>
          <t>Ledger</t>
        </is>
      </c>
      <c r="B27" s="11" t="inlineStr">
        <is>
          <t>ONDO</t>
        </is>
      </c>
      <c r="C27" s="12" t="n">
        <v>94.18945</v>
      </c>
      <c r="D27" s="13" t="n">
        <v>25</v>
      </c>
      <c r="E27" s="14">
        <f>IF(AND(ISNUMBER(D27),ISNUMBER(C27),C27&gt;0),D27/C27,"")</f>
        <v/>
      </c>
      <c r="F27" s="14">
        <f>IF(B27="","",IFERROR(INDEX(Prices!$F$8:$F$41,MATCH(B27,Prices!$A$8:$A$41,0)),"Add to Prices"))</f>
        <v/>
      </c>
      <c r="G27" s="15">
        <f>IF(OR(NOT(ISNUMBER(C27)),NOT(ISNUMBER(F27))),"",C27*F27)</f>
        <v/>
      </c>
      <c r="H27" s="16">
        <f>IF(AND(ISNUMBER(G27),ISNUMBER(D27)),G27-D27,"")</f>
        <v/>
      </c>
      <c r="I27" s="17">
        <f>IF(AND(ISNUMBER(H27),N(D27)&gt;0),H27/D27,"")</f>
        <v/>
      </c>
      <c r="J27" s="11" t="inlineStr">
        <is>
          <t>Kraken $25 (Apr 2026)</t>
        </is>
      </c>
      <c r="K27" s="43">
        <f>IF(B27="","",IFERROR(INDEX(Ratings!$D$6:$D$39,MATCH(B27,Ratings!$A$6:$A$39,0)),"Not rated"))</f>
        <v/>
      </c>
      <c r="L27" s="41">
        <f>IF(B27="","",IFERROR(INDEX(Ratings!$C$6:$C$39,MATCH(B27,Ratings!$A$6:$A$39,0)),""))</f>
        <v/>
      </c>
    </row>
    <row r="28">
      <c r="A28" s="11" t="inlineStr">
        <is>
          <t>Ledger</t>
        </is>
      </c>
      <c r="B28" s="11" t="inlineStr">
        <is>
          <t>QNT</t>
        </is>
      </c>
      <c r="C28" s="12" t="n">
        <v>0.33895893</v>
      </c>
      <c r="D28" s="13" t="n">
        <v>24.94</v>
      </c>
      <c r="E28" s="14">
        <f>IF(AND(ISNUMBER(D28),ISNUMBER(C28),C28&gt;0),D28/C28,"")</f>
        <v/>
      </c>
      <c r="F28" s="14">
        <f>IF(B28="","",IFERROR(INDEX(Prices!$F$8:$F$41,MATCH(B28,Prices!$A$8:$A$41,0)),"Add to Prices"))</f>
        <v/>
      </c>
      <c r="G28" s="15">
        <f>IF(OR(NOT(ISNUMBER(C28)),NOT(ISNUMBER(F28))),"",C28*F28)</f>
        <v/>
      </c>
      <c r="H28" s="16">
        <f>IF(AND(ISNUMBER(G28),ISNUMBER(D28)),G28-D28,"")</f>
        <v/>
      </c>
      <c r="I28" s="17">
        <f>IF(AND(ISNUMBER(H28),N(D28)&gt;0),H28/D28,"")</f>
        <v/>
      </c>
      <c r="J28" s="11" t="inlineStr">
        <is>
          <t>Coinbase $24.31 buy + $0.63 deposit fee (Jun 2026)</t>
        </is>
      </c>
      <c r="K28" s="43">
        <f>IF(B28="","",IFERROR(INDEX(Ratings!$D$6:$D$39,MATCH(B28,Ratings!$A$6:$A$39,0)),"Not rated"))</f>
        <v/>
      </c>
      <c r="L28" s="41">
        <f>IF(B28="","",IFERROR(INDEX(Ratings!$C$6:$C$39,MATCH(B28,Ratings!$A$6:$A$39,0)),""))</f>
        <v/>
      </c>
    </row>
    <row r="29">
      <c r="A29" s="11" t="n"/>
      <c r="B29" s="11" t="n"/>
      <c r="C29" s="12" t="n"/>
      <c r="D29" s="13" t="n"/>
      <c r="E29" s="14">
        <f>IF(AND(ISNUMBER(D29),ISNUMBER(C29),C29&gt;0),D29/C29,"")</f>
        <v/>
      </c>
      <c r="F29" s="14">
        <f>IF(B29="","",IFERROR(INDEX(Prices!$F$8:$F$41,MATCH(B29,Prices!$A$8:$A$41,0)),"Add to Prices"))</f>
        <v/>
      </c>
      <c r="G29" s="15">
        <f>IF(OR(NOT(ISNUMBER(C29)),NOT(ISNUMBER(F29))),"",C29*F29)</f>
        <v/>
      </c>
      <c r="H29" s="16">
        <f>IF(AND(ISNUMBER(G29),ISNUMBER(D29)),G29-D29,"")</f>
        <v/>
      </c>
      <c r="I29" s="17">
        <f>IF(AND(ISNUMBER(H29),N(D29)&gt;0),H29/D29,"")</f>
        <v/>
      </c>
      <c r="J29" s="11" t="n"/>
      <c r="K29" s="43">
        <f>IF(B29="","",IFERROR(INDEX(Ratings!$D$6:$D$39,MATCH(B29,Ratings!$A$6:$A$39,0)),"Not rated"))</f>
        <v/>
      </c>
      <c r="L29" s="41">
        <f>IF(B29="","",IFERROR(INDEX(Ratings!$C$6:$C$39,MATCH(B29,Ratings!$A$6:$A$39,0)),""))</f>
        <v/>
      </c>
    </row>
    <row r="30">
      <c r="A30" s="11" t="n"/>
      <c r="B30" s="11" t="n"/>
      <c r="C30" s="12" t="n"/>
      <c r="D30" s="13" t="n"/>
      <c r="E30" s="14">
        <f>IF(AND(ISNUMBER(D30),ISNUMBER(C30),C30&gt;0),D30/C30,"")</f>
        <v/>
      </c>
      <c r="F30" s="14">
        <f>IF(B30="","",IFERROR(INDEX(Prices!$F$8:$F$41,MATCH(B30,Prices!$A$8:$A$41,0)),"Add to Prices"))</f>
        <v/>
      </c>
      <c r="G30" s="15">
        <f>IF(OR(NOT(ISNUMBER(C30)),NOT(ISNUMBER(F30))),"",C30*F30)</f>
        <v/>
      </c>
      <c r="H30" s="16">
        <f>IF(AND(ISNUMBER(G30),ISNUMBER(D30)),G30-D30,"")</f>
        <v/>
      </c>
      <c r="I30" s="17">
        <f>IF(AND(ISNUMBER(H30),N(D30)&gt;0),H30/D30,"")</f>
        <v/>
      </c>
      <c r="J30" s="11" t="n"/>
      <c r="K30" s="43">
        <f>IF(B30="","",IFERROR(INDEX(Ratings!$D$6:$D$39,MATCH(B30,Ratings!$A$6:$A$39,0)),"Not rated"))</f>
        <v/>
      </c>
      <c r="L30" s="41">
        <f>IF(B30="","",IFERROR(INDEX(Ratings!$C$6:$C$39,MATCH(B30,Ratings!$A$6:$A$39,0)),""))</f>
        <v/>
      </c>
    </row>
    <row r="31">
      <c r="A31" s="11" t="n"/>
      <c r="B31" s="11" t="n"/>
      <c r="C31" s="12" t="n"/>
      <c r="D31" s="13" t="n"/>
      <c r="E31" s="14">
        <f>IF(AND(ISNUMBER(D31),ISNUMBER(C31),C31&gt;0),D31/C31,"")</f>
        <v/>
      </c>
      <c r="F31" s="14">
        <f>IF(B31="","",IFERROR(INDEX(Prices!$F$8:$F$41,MATCH(B31,Prices!$A$8:$A$41,0)),"Add to Prices"))</f>
        <v/>
      </c>
      <c r="G31" s="15">
        <f>IF(OR(NOT(ISNUMBER(C31)),NOT(ISNUMBER(F31))),"",C31*F31)</f>
        <v/>
      </c>
      <c r="H31" s="16">
        <f>IF(AND(ISNUMBER(G31),ISNUMBER(D31)),G31-D31,"")</f>
        <v/>
      </c>
      <c r="I31" s="17">
        <f>IF(AND(ISNUMBER(H31),N(D31)&gt;0),H31/D31,"")</f>
        <v/>
      </c>
      <c r="J31" s="11" t="n"/>
      <c r="K31" s="43">
        <f>IF(B31="","",IFERROR(INDEX(Ratings!$D$6:$D$39,MATCH(B31,Ratings!$A$6:$A$39,0)),"Not rated"))</f>
        <v/>
      </c>
      <c r="L31" s="41">
        <f>IF(B31="","",IFERROR(INDEX(Ratings!$C$6:$C$39,MATCH(B31,Ratings!$A$6:$A$39,0)),""))</f>
        <v/>
      </c>
    </row>
    <row r="32">
      <c r="A32" s="11" t="n"/>
      <c r="B32" s="11" t="n"/>
      <c r="C32" s="12" t="n"/>
      <c r="D32" s="13" t="n"/>
      <c r="E32" s="14">
        <f>IF(AND(ISNUMBER(D32),ISNUMBER(C32),C32&gt;0),D32/C32,"")</f>
        <v/>
      </c>
      <c r="F32" s="14">
        <f>IF(B32="","",IFERROR(INDEX(Prices!$F$8:$F$41,MATCH(B32,Prices!$A$8:$A$41,0)),"Add to Prices"))</f>
        <v/>
      </c>
      <c r="G32" s="15">
        <f>IF(OR(NOT(ISNUMBER(C32)),NOT(ISNUMBER(F32))),"",C32*F32)</f>
        <v/>
      </c>
      <c r="H32" s="16">
        <f>IF(AND(ISNUMBER(G32),ISNUMBER(D32)),G32-D32,"")</f>
        <v/>
      </c>
      <c r="I32" s="17">
        <f>IF(AND(ISNUMBER(H32),N(D32)&gt;0),H32/D32,"")</f>
        <v/>
      </c>
      <c r="J32" s="11" t="n"/>
      <c r="K32" s="43">
        <f>IF(B32="","",IFERROR(INDEX(Ratings!$D$6:$D$39,MATCH(B32,Ratings!$A$6:$A$39,0)),"Not rated"))</f>
        <v/>
      </c>
      <c r="L32" s="41">
        <f>IF(B32="","",IFERROR(INDEX(Ratings!$C$6:$C$39,MATCH(B32,Ratings!$A$6:$A$39,0)),""))</f>
        <v/>
      </c>
    </row>
    <row r="33">
      <c r="A33" s="11" t="n"/>
      <c r="B33" s="11" t="n"/>
      <c r="C33" s="12" t="n"/>
      <c r="D33" s="13" t="n"/>
      <c r="E33" s="14">
        <f>IF(AND(ISNUMBER(D33),ISNUMBER(C33),C33&gt;0),D33/C33,"")</f>
        <v/>
      </c>
      <c r="F33" s="14">
        <f>IF(B33="","",IFERROR(INDEX(Prices!$F$8:$F$41,MATCH(B33,Prices!$A$8:$A$41,0)),"Add to Prices"))</f>
        <v/>
      </c>
      <c r="G33" s="15">
        <f>IF(OR(NOT(ISNUMBER(C33)),NOT(ISNUMBER(F33))),"",C33*F33)</f>
        <v/>
      </c>
      <c r="H33" s="16">
        <f>IF(AND(ISNUMBER(G33),ISNUMBER(D33)),G33-D33,"")</f>
        <v/>
      </c>
      <c r="I33" s="17">
        <f>IF(AND(ISNUMBER(H33),N(D33)&gt;0),H33/D33,"")</f>
        <v/>
      </c>
      <c r="J33" s="11" t="n"/>
      <c r="K33" s="43">
        <f>IF(B33="","",IFERROR(INDEX(Ratings!$D$6:$D$39,MATCH(B33,Ratings!$A$6:$A$39,0)),"Not rated"))</f>
        <v/>
      </c>
      <c r="L33" s="41">
        <f>IF(B33="","",IFERROR(INDEX(Ratings!$C$6:$C$39,MATCH(B33,Ratings!$A$6:$A$39,0)),""))</f>
        <v/>
      </c>
    </row>
    <row r="34">
      <c r="A34" s="11" t="n"/>
      <c r="B34" s="11" t="n"/>
      <c r="C34" s="12" t="n"/>
      <c r="D34" s="13" t="n"/>
      <c r="E34" s="14">
        <f>IF(AND(ISNUMBER(D34),ISNUMBER(C34),C34&gt;0),D34/C34,"")</f>
        <v/>
      </c>
      <c r="F34" s="14">
        <f>IF(B34="","",IFERROR(INDEX(Prices!$F$8:$F$41,MATCH(B34,Prices!$A$8:$A$41,0)),"Add to Prices"))</f>
        <v/>
      </c>
      <c r="G34" s="15">
        <f>IF(OR(NOT(ISNUMBER(C34)),NOT(ISNUMBER(F34))),"",C34*F34)</f>
        <v/>
      </c>
      <c r="H34" s="16">
        <f>IF(AND(ISNUMBER(G34),ISNUMBER(D34)),G34-D34,"")</f>
        <v/>
      </c>
      <c r="I34" s="17">
        <f>IF(AND(ISNUMBER(H34),N(D34)&gt;0),H34/D34,"")</f>
        <v/>
      </c>
      <c r="J34" s="11" t="n"/>
      <c r="K34" s="43">
        <f>IF(B34="","",IFERROR(INDEX(Ratings!$D$6:$D$39,MATCH(B34,Ratings!$A$6:$A$39,0)),"Not rated"))</f>
        <v/>
      </c>
      <c r="L34" s="41">
        <f>IF(B34="","",IFERROR(INDEX(Ratings!$C$6:$C$39,MATCH(B34,Ratings!$A$6:$A$39,0)),""))</f>
        <v/>
      </c>
    </row>
    <row r="35">
      <c r="A35" s="11" t="n"/>
      <c r="B35" s="11" t="n"/>
      <c r="C35" s="12" t="n"/>
      <c r="D35" s="13" t="n"/>
      <c r="E35" s="14">
        <f>IF(AND(ISNUMBER(D35),ISNUMBER(C35),C35&gt;0),D35/C35,"")</f>
        <v/>
      </c>
      <c r="F35" s="14">
        <f>IF(B35="","",IFERROR(INDEX(Prices!$F$8:$F$41,MATCH(B35,Prices!$A$8:$A$41,0)),"Add to Prices"))</f>
        <v/>
      </c>
      <c r="G35" s="15">
        <f>IF(OR(NOT(ISNUMBER(C35)),NOT(ISNUMBER(F35))),"",C35*F35)</f>
        <v/>
      </c>
      <c r="H35" s="16">
        <f>IF(AND(ISNUMBER(G35),ISNUMBER(D35)),G35-D35,"")</f>
        <v/>
      </c>
      <c r="I35" s="17">
        <f>IF(AND(ISNUMBER(H35),N(D35)&gt;0),H35/D35,"")</f>
        <v/>
      </c>
      <c r="J35" s="11" t="n"/>
      <c r="K35" s="43">
        <f>IF(B35="","",IFERROR(INDEX(Ratings!$D$6:$D$39,MATCH(B35,Ratings!$A$6:$A$39,0)),"Not rated"))</f>
        <v/>
      </c>
      <c r="L35" s="41">
        <f>IF(B35="","",IFERROR(INDEX(Ratings!$C$6:$C$39,MATCH(B35,Ratings!$A$6:$A$39,0)),""))</f>
        <v/>
      </c>
    </row>
    <row r="36">
      <c r="A36" s="11" t="n"/>
      <c r="B36" s="11" t="n"/>
      <c r="C36" s="12" t="n"/>
      <c r="D36" s="13" t="n"/>
      <c r="E36" s="14">
        <f>IF(AND(ISNUMBER(D36),ISNUMBER(C36),C36&gt;0),D36/C36,"")</f>
        <v/>
      </c>
      <c r="F36" s="14">
        <f>IF(B36="","",IFERROR(INDEX(Prices!$F$8:$F$41,MATCH(B36,Prices!$A$8:$A$41,0)),"Add to Prices"))</f>
        <v/>
      </c>
      <c r="G36" s="15">
        <f>IF(OR(NOT(ISNUMBER(C36)),NOT(ISNUMBER(F36))),"",C36*F36)</f>
        <v/>
      </c>
      <c r="H36" s="16">
        <f>IF(AND(ISNUMBER(G36),ISNUMBER(D36)),G36-D36,"")</f>
        <v/>
      </c>
      <c r="I36" s="17">
        <f>IF(AND(ISNUMBER(H36),N(D36)&gt;0),H36/D36,"")</f>
        <v/>
      </c>
      <c r="J36" s="11" t="n"/>
      <c r="K36" s="43">
        <f>IF(B36="","",IFERROR(INDEX(Ratings!$D$6:$D$39,MATCH(B36,Ratings!$A$6:$A$39,0)),"Not rated"))</f>
        <v/>
      </c>
      <c r="L36" s="41">
        <f>IF(B36="","",IFERROR(INDEX(Ratings!$C$6:$C$39,MATCH(B36,Ratings!$A$6:$A$39,0)),""))</f>
        <v/>
      </c>
    </row>
    <row r="37">
      <c r="A37" s="11" t="n"/>
      <c r="B37" s="11" t="n"/>
      <c r="C37" s="12" t="n"/>
      <c r="D37" s="13" t="n"/>
      <c r="E37" s="14">
        <f>IF(AND(ISNUMBER(D37),ISNUMBER(C37),C37&gt;0),D37/C37,"")</f>
        <v/>
      </c>
      <c r="F37" s="14">
        <f>IF(B37="","",IFERROR(INDEX(Prices!$F$8:$F$41,MATCH(B37,Prices!$A$8:$A$41,0)),"Add to Prices"))</f>
        <v/>
      </c>
      <c r="G37" s="15">
        <f>IF(OR(NOT(ISNUMBER(C37)),NOT(ISNUMBER(F37))),"",C37*F37)</f>
        <v/>
      </c>
      <c r="H37" s="16">
        <f>IF(AND(ISNUMBER(G37),ISNUMBER(D37)),G37-D37,"")</f>
        <v/>
      </c>
      <c r="I37" s="17">
        <f>IF(AND(ISNUMBER(H37),N(D37)&gt;0),H37/D37,"")</f>
        <v/>
      </c>
      <c r="J37" s="11" t="n"/>
      <c r="K37" s="43">
        <f>IF(B37="","",IFERROR(INDEX(Ratings!$D$6:$D$39,MATCH(B37,Ratings!$A$6:$A$39,0)),"Not rated"))</f>
        <v/>
      </c>
      <c r="L37" s="41">
        <f>IF(B37="","",IFERROR(INDEX(Ratings!$C$6:$C$39,MATCH(B37,Ratings!$A$6:$A$39,0)),""))</f>
        <v/>
      </c>
    </row>
    <row r="38">
      <c r="A38" s="11" t="n"/>
      <c r="B38" s="11" t="n"/>
      <c r="C38" s="12" t="n"/>
      <c r="D38" s="13" t="n"/>
      <c r="E38" s="14">
        <f>IF(AND(ISNUMBER(D38),ISNUMBER(C38),C38&gt;0),D38/C38,"")</f>
        <v/>
      </c>
      <c r="F38" s="14">
        <f>IF(B38="","",IFERROR(INDEX(Prices!$F$8:$F$41,MATCH(B38,Prices!$A$8:$A$41,0)),"Add to Prices"))</f>
        <v/>
      </c>
      <c r="G38" s="15">
        <f>IF(OR(NOT(ISNUMBER(C38)),NOT(ISNUMBER(F38))),"",C38*F38)</f>
        <v/>
      </c>
      <c r="H38" s="16">
        <f>IF(AND(ISNUMBER(G38),ISNUMBER(D38)),G38-D38,"")</f>
        <v/>
      </c>
      <c r="I38" s="17">
        <f>IF(AND(ISNUMBER(H38),N(D38)&gt;0),H38/D38,"")</f>
        <v/>
      </c>
      <c r="J38" s="11" t="n"/>
      <c r="K38" s="43">
        <f>IF(B38="","",IFERROR(INDEX(Ratings!$D$6:$D$39,MATCH(B38,Ratings!$A$6:$A$39,0)),"Not rated"))</f>
        <v/>
      </c>
      <c r="L38" s="41">
        <f>IF(B38="","",IFERROR(INDEX(Ratings!$C$6:$C$39,MATCH(B38,Ratings!$A$6:$A$39,0)),""))</f>
        <v/>
      </c>
    </row>
    <row r="39">
      <c r="A39" s="11" t="n"/>
      <c r="B39" s="11" t="n"/>
      <c r="C39" s="12" t="n"/>
      <c r="D39" s="13" t="n"/>
      <c r="E39" s="14">
        <f>IF(AND(ISNUMBER(D39),ISNUMBER(C39),C39&gt;0),D39/C39,"")</f>
        <v/>
      </c>
      <c r="F39" s="14">
        <f>IF(B39="","",IFERROR(INDEX(Prices!$F$8:$F$41,MATCH(B39,Prices!$A$8:$A$41,0)),"Add to Prices"))</f>
        <v/>
      </c>
      <c r="G39" s="15">
        <f>IF(OR(NOT(ISNUMBER(C39)),NOT(ISNUMBER(F39))),"",C39*F39)</f>
        <v/>
      </c>
      <c r="H39" s="16">
        <f>IF(AND(ISNUMBER(G39),ISNUMBER(D39)),G39-D39,"")</f>
        <v/>
      </c>
      <c r="I39" s="17">
        <f>IF(AND(ISNUMBER(H39),N(D39)&gt;0),H39/D39,"")</f>
        <v/>
      </c>
      <c r="J39" s="11" t="n"/>
      <c r="K39" s="43">
        <f>IF(B39="","",IFERROR(INDEX(Ratings!$D$6:$D$39,MATCH(B39,Ratings!$A$6:$A$39,0)),"Not rated"))</f>
        <v/>
      </c>
      <c r="L39" s="41">
        <f>IF(B39="","",IFERROR(INDEX(Ratings!$C$6:$C$39,MATCH(B39,Ratings!$A$6:$A$39,0)),""))</f>
        <v/>
      </c>
    </row>
    <row r="40">
      <c r="A40" s="11" t="n"/>
      <c r="B40" s="11" t="n"/>
      <c r="C40" s="12" t="n"/>
      <c r="D40" s="13" t="n"/>
      <c r="E40" s="14">
        <f>IF(AND(ISNUMBER(D40),ISNUMBER(C40),C40&gt;0),D40/C40,"")</f>
        <v/>
      </c>
      <c r="F40" s="14">
        <f>IF(B40="","",IFERROR(INDEX(Prices!$F$8:$F$41,MATCH(B40,Prices!$A$8:$A$41,0)),"Add to Prices"))</f>
        <v/>
      </c>
      <c r="G40" s="15">
        <f>IF(OR(NOT(ISNUMBER(C40)),NOT(ISNUMBER(F40))),"",C40*F40)</f>
        <v/>
      </c>
      <c r="H40" s="16">
        <f>IF(AND(ISNUMBER(G40),ISNUMBER(D40)),G40-D40,"")</f>
        <v/>
      </c>
      <c r="I40" s="17">
        <f>IF(AND(ISNUMBER(H40),N(D40)&gt;0),H40/D40,"")</f>
        <v/>
      </c>
      <c r="J40" s="11" t="n"/>
      <c r="K40" s="43">
        <f>IF(B40="","",IFERROR(INDEX(Ratings!$D$6:$D$39,MATCH(B40,Ratings!$A$6:$A$39,0)),"Not rated"))</f>
        <v/>
      </c>
      <c r="L40" s="41">
        <f>IF(B40="","",IFERROR(INDEX(Ratings!$C$6:$C$39,MATCH(B40,Ratings!$A$6:$A$39,0)),""))</f>
        <v/>
      </c>
    </row>
    <row r="41">
      <c r="A41" s="11" t="n"/>
      <c r="B41" s="11" t="n"/>
      <c r="C41" s="12" t="n"/>
      <c r="D41" s="13" t="n"/>
      <c r="E41" s="14">
        <f>IF(AND(ISNUMBER(D41),ISNUMBER(C41),C41&gt;0),D41/C41,"")</f>
        <v/>
      </c>
      <c r="F41" s="14">
        <f>IF(B41="","",IFERROR(INDEX(Prices!$F$8:$F$41,MATCH(B41,Prices!$A$8:$A$41,0)),"Add to Prices"))</f>
        <v/>
      </c>
      <c r="G41" s="15">
        <f>IF(OR(NOT(ISNUMBER(C41)),NOT(ISNUMBER(F41))),"",C41*F41)</f>
        <v/>
      </c>
      <c r="H41" s="16">
        <f>IF(AND(ISNUMBER(G41),ISNUMBER(D41)),G41-D41,"")</f>
        <v/>
      </c>
      <c r="I41" s="17">
        <f>IF(AND(ISNUMBER(H41),N(D41)&gt;0),H41/D41,"")</f>
        <v/>
      </c>
      <c r="J41" s="11" t="n"/>
      <c r="K41" s="43">
        <f>IF(B41="","",IFERROR(INDEX(Ratings!$D$6:$D$39,MATCH(B41,Ratings!$A$6:$A$39,0)),"Not rated"))</f>
        <v/>
      </c>
      <c r="L41" s="41">
        <f>IF(B41="","",IFERROR(INDEX(Ratings!$C$6:$C$39,MATCH(B41,Ratings!$A$6:$A$39,0)),""))</f>
        <v/>
      </c>
    </row>
    <row r="42">
      <c r="A42" s="11" t="n"/>
      <c r="B42" s="11" t="n"/>
      <c r="C42" s="12" t="n"/>
      <c r="D42" s="13" t="n"/>
      <c r="E42" s="14">
        <f>IF(AND(ISNUMBER(D42),ISNUMBER(C42),C42&gt;0),D42/C42,"")</f>
        <v/>
      </c>
      <c r="F42" s="14">
        <f>IF(B42="","",IFERROR(INDEX(Prices!$F$8:$F$41,MATCH(B42,Prices!$A$8:$A$41,0)),"Add to Prices"))</f>
        <v/>
      </c>
      <c r="G42" s="15">
        <f>IF(OR(NOT(ISNUMBER(C42)),NOT(ISNUMBER(F42))),"",C42*F42)</f>
        <v/>
      </c>
      <c r="H42" s="16">
        <f>IF(AND(ISNUMBER(G42),ISNUMBER(D42)),G42-D42,"")</f>
        <v/>
      </c>
      <c r="I42" s="17">
        <f>IF(AND(ISNUMBER(H42),N(D42)&gt;0),H42/D42,"")</f>
        <v/>
      </c>
      <c r="J42" s="11" t="n"/>
      <c r="K42" s="43">
        <f>IF(B42="","",IFERROR(INDEX(Ratings!$D$6:$D$39,MATCH(B42,Ratings!$A$6:$A$39,0)),"Not rated"))</f>
        <v/>
      </c>
      <c r="L42" s="41">
        <f>IF(B42="","",IFERROR(INDEX(Ratings!$C$6:$C$39,MATCH(B42,Ratings!$A$6:$A$39,0)),""))</f>
        <v/>
      </c>
    </row>
    <row r="43">
      <c r="A43" s="11" t="n"/>
      <c r="B43" s="11" t="n"/>
      <c r="C43" s="12" t="n"/>
      <c r="D43" s="13" t="n"/>
      <c r="E43" s="14">
        <f>IF(AND(ISNUMBER(D43),ISNUMBER(C43),C43&gt;0),D43/C43,"")</f>
        <v/>
      </c>
      <c r="F43" s="14">
        <f>IF(B43="","",IFERROR(INDEX(Prices!$F$8:$F$41,MATCH(B43,Prices!$A$8:$A$41,0)),"Add to Prices"))</f>
        <v/>
      </c>
      <c r="G43" s="15">
        <f>IF(OR(NOT(ISNUMBER(C43)),NOT(ISNUMBER(F43))),"",C43*F43)</f>
        <v/>
      </c>
      <c r="H43" s="16">
        <f>IF(AND(ISNUMBER(G43),ISNUMBER(D43)),G43-D43,"")</f>
        <v/>
      </c>
      <c r="I43" s="17">
        <f>IF(AND(ISNUMBER(H43),N(D43)&gt;0),H43/D43,"")</f>
        <v/>
      </c>
      <c r="J43" s="11" t="n"/>
      <c r="K43" s="43">
        <f>IF(B43="","",IFERROR(INDEX(Ratings!$D$6:$D$39,MATCH(B43,Ratings!$A$6:$A$39,0)),"Not rated"))</f>
        <v/>
      </c>
      <c r="L43" s="41">
        <f>IF(B43="","",IFERROR(INDEX(Ratings!$C$6:$C$39,MATCH(B43,Ratings!$A$6:$A$39,0)),""))</f>
        <v/>
      </c>
    </row>
    <row r="44">
      <c r="A44" s="11" t="n"/>
      <c r="B44" s="11" t="n"/>
      <c r="C44" s="12" t="n"/>
      <c r="D44" s="13" t="n"/>
      <c r="E44" s="14">
        <f>IF(AND(ISNUMBER(D44),ISNUMBER(C44),C44&gt;0),D44/C44,"")</f>
        <v/>
      </c>
      <c r="F44" s="14">
        <f>IF(B44="","",IFERROR(INDEX(Prices!$F$8:$F$41,MATCH(B44,Prices!$A$8:$A$41,0)),"Add to Prices"))</f>
        <v/>
      </c>
      <c r="G44" s="15">
        <f>IF(OR(NOT(ISNUMBER(C44)),NOT(ISNUMBER(F44))),"",C44*F44)</f>
        <v/>
      </c>
      <c r="H44" s="16">
        <f>IF(AND(ISNUMBER(G44),ISNUMBER(D44)),G44-D44,"")</f>
        <v/>
      </c>
      <c r="I44" s="17">
        <f>IF(AND(ISNUMBER(H44),N(D44)&gt;0),H44/D44,"")</f>
        <v/>
      </c>
      <c r="J44" s="11" t="n"/>
      <c r="K44" s="43">
        <f>IF(B44="","",IFERROR(INDEX(Ratings!$D$6:$D$39,MATCH(B44,Ratings!$A$6:$A$39,0)),"Not rated"))</f>
        <v/>
      </c>
      <c r="L44" s="41">
        <f>IF(B44="","",IFERROR(INDEX(Ratings!$C$6:$C$39,MATCH(B44,Ratings!$A$6:$A$39,0)),""))</f>
        <v/>
      </c>
    </row>
    <row r="45">
      <c r="A45" s="11" t="n"/>
      <c r="B45" s="11" t="n"/>
      <c r="C45" s="12" t="n"/>
      <c r="D45" s="13" t="n"/>
      <c r="E45" s="14">
        <f>IF(AND(ISNUMBER(D45),ISNUMBER(C45),C45&gt;0),D45/C45,"")</f>
        <v/>
      </c>
      <c r="F45" s="14">
        <f>IF(B45="","",IFERROR(INDEX(Prices!$F$8:$F$41,MATCH(B45,Prices!$A$8:$A$41,0)),"Add to Prices"))</f>
        <v/>
      </c>
      <c r="G45" s="15">
        <f>IF(OR(NOT(ISNUMBER(C45)),NOT(ISNUMBER(F45))),"",C45*F45)</f>
        <v/>
      </c>
      <c r="H45" s="16">
        <f>IF(AND(ISNUMBER(G45),ISNUMBER(D45)),G45-D45,"")</f>
        <v/>
      </c>
      <c r="I45" s="17">
        <f>IF(AND(ISNUMBER(H45),N(D45)&gt;0),H45/D45,"")</f>
        <v/>
      </c>
      <c r="J45" s="11" t="n"/>
      <c r="K45" s="43">
        <f>IF(B45="","",IFERROR(INDEX(Ratings!$D$6:$D$39,MATCH(B45,Ratings!$A$6:$A$39,0)),"Not rated"))</f>
        <v/>
      </c>
      <c r="L45" s="41">
        <f>IF(B45="","",IFERROR(INDEX(Ratings!$C$6:$C$39,MATCH(B45,Ratings!$A$6:$A$39,0)),""))</f>
        <v/>
      </c>
    </row>
    <row r="46">
      <c r="A46" s="11" t="n"/>
      <c r="B46" s="11" t="n"/>
      <c r="C46" s="12" t="n"/>
      <c r="D46" s="13" t="n"/>
      <c r="E46" s="14">
        <f>IF(AND(ISNUMBER(D46),ISNUMBER(C46),C46&gt;0),D46/C46,"")</f>
        <v/>
      </c>
      <c r="F46" s="14">
        <f>IF(B46="","",IFERROR(INDEX(Prices!$F$8:$F$41,MATCH(B46,Prices!$A$8:$A$41,0)),"Add to Prices"))</f>
        <v/>
      </c>
      <c r="G46" s="15">
        <f>IF(OR(NOT(ISNUMBER(C46)),NOT(ISNUMBER(F46))),"",C46*F46)</f>
        <v/>
      </c>
      <c r="H46" s="16">
        <f>IF(AND(ISNUMBER(G46),ISNUMBER(D46)),G46-D46,"")</f>
        <v/>
      </c>
      <c r="I46" s="17">
        <f>IF(AND(ISNUMBER(H46),N(D46)&gt;0),H46/D46,"")</f>
        <v/>
      </c>
      <c r="J46" s="11" t="n"/>
      <c r="K46" s="43">
        <f>IF(B46="","",IFERROR(INDEX(Ratings!$D$6:$D$39,MATCH(B46,Ratings!$A$6:$A$39,0)),"Not rated"))</f>
        <v/>
      </c>
      <c r="L46" s="41">
        <f>IF(B46="","",IFERROR(INDEX(Ratings!$C$6:$C$39,MATCH(B46,Ratings!$A$6:$A$39,0)),""))</f>
        <v/>
      </c>
    </row>
    <row r="47">
      <c r="A47" s="11" t="n"/>
      <c r="B47" s="11" t="n"/>
      <c r="C47" s="12" t="n"/>
      <c r="D47" s="13" t="n"/>
      <c r="E47" s="14">
        <f>IF(AND(ISNUMBER(D47),ISNUMBER(C47),C47&gt;0),D47/C47,"")</f>
        <v/>
      </c>
      <c r="F47" s="14">
        <f>IF(B47="","",IFERROR(INDEX(Prices!$F$8:$F$41,MATCH(B47,Prices!$A$8:$A$41,0)),"Add to Prices"))</f>
        <v/>
      </c>
      <c r="G47" s="15">
        <f>IF(OR(NOT(ISNUMBER(C47)),NOT(ISNUMBER(F47))),"",C47*F47)</f>
        <v/>
      </c>
      <c r="H47" s="16">
        <f>IF(AND(ISNUMBER(G47),ISNUMBER(D47)),G47-D47,"")</f>
        <v/>
      </c>
      <c r="I47" s="17">
        <f>IF(AND(ISNUMBER(H47),N(D47)&gt;0),H47/D47,"")</f>
        <v/>
      </c>
      <c r="J47" s="11" t="n"/>
      <c r="K47" s="43">
        <f>IF(B47="","",IFERROR(INDEX(Ratings!$D$6:$D$39,MATCH(B47,Ratings!$A$6:$A$39,0)),"Not rated"))</f>
        <v/>
      </c>
      <c r="L47" s="41">
        <f>IF(B47="","",IFERROR(INDEX(Ratings!$C$6:$C$39,MATCH(B47,Ratings!$A$6:$A$39,0)),""))</f>
        <v/>
      </c>
    </row>
    <row r="48">
      <c r="A48" s="11" t="n"/>
      <c r="B48" s="11" t="n"/>
      <c r="C48" s="12" t="n"/>
      <c r="D48" s="13" t="n"/>
      <c r="E48" s="14">
        <f>IF(AND(ISNUMBER(D48),ISNUMBER(C48),C48&gt;0),D48/C48,"")</f>
        <v/>
      </c>
      <c r="F48" s="14">
        <f>IF(B48="","",IFERROR(INDEX(Prices!$F$8:$F$41,MATCH(B48,Prices!$A$8:$A$41,0)),"Add to Prices"))</f>
        <v/>
      </c>
      <c r="G48" s="15">
        <f>IF(OR(NOT(ISNUMBER(C48)),NOT(ISNUMBER(F48))),"",C48*F48)</f>
        <v/>
      </c>
      <c r="H48" s="16">
        <f>IF(AND(ISNUMBER(G48),ISNUMBER(D48)),G48-D48,"")</f>
        <v/>
      </c>
      <c r="I48" s="17">
        <f>IF(AND(ISNUMBER(H48),N(D48)&gt;0),H48/D48,"")</f>
        <v/>
      </c>
      <c r="J48" s="11" t="n"/>
      <c r="K48" s="43">
        <f>IF(B48="","",IFERROR(INDEX(Ratings!$D$6:$D$39,MATCH(B48,Ratings!$A$6:$A$39,0)),"Not rated"))</f>
        <v/>
      </c>
      <c r="L48" s="41">
        <f>IF(B48="","",IFERROR(INDEX(Ratings!$C$6:$C$39,MATCH(B48,Ratings!$A$6:$A$39,0)),""))</f>
        <v/>
      </c>
    </row>
    <row r="49">
      <c r="A49" s="11" t="n"/>
      <c r="B49" s="11" t="n"/>
      <c r="C49" s="12" t="n"/>
      <c r="D49" s="13" t="n"/>
      <c r="E49" s="14">
        <f>IF(AND(ISNUMBER(D49),ISNUMBER(C49),C49&gt;0),D49/C49,"")</f>
        <v/>
      </c>
      <c r="F49" s="14">
        <f>IF(B49="","",IFERROR(INDEX(Prices!$F$8:$F$41,MATCH(B49,Prices!$A$8:$A$41,0)),"Add to Prices"))</f>
        <v/>
      </c>
      <c r="G49" s="15">
        <f>IF(OR(NOT(ISNUMBER(C49)),NOT(ISNUMBER(F49))),"",C49*F49)</f>
        <v/>
      </c>
      <c r="H49" s="16">
        <f>IF(AND(ISNUMBER(G49),ISNUMBER(D49)),G49-D49,"")</f>
        <v/>
      </c>
      <c r="I49" s="17">
        <f>IF(AND(ISNUMBER(H49),N(D49)&gt;0),H49/D49,"")</f>
        <v/>
      </c>
      <c r="J49" s="11" t="n"/>
      <c r="K49" s="43">
        <f>IF(B49="","",IFERROR(INDEX(Ratings!$D$6:$D$39,MATCH(B49,Ratings!$A$6:$A$39,0)),"Not rated"))</f>
        <v/>
      </c>
      <c r="L49" s="41">
        <f>IF(B49="","",IFERROR(INDEX(Ratings!$C$6:$C$39,MATCH(B49,Ratings!$A$6:$A$39,0)),""))</f>
        <v/>
      </c>
    </row>
    <row r="50">
      <c r="A50" s="11" t="n"/>
      <c r="B50" s="11" t="n"/>
      <c r="C50" s="12" t="n"/>
      <c r="D50" s="13" t="n"/>
      <c r="E50" s="14">
        <f>IF(AND(ISNUMBER(D50),ISNUMBER(C50),C50&gt;0),D50/C50,"")</f>
        <v/>
      </c>
      <c r="F50" s="14">
        <f>IF(B50="","",IFERROR(INDEX(Prices!$F$8:$F$41,MATCH(B50,Prices!$A$8:$A$41,0)),"Add to Prices"))</f>
        <v/>
      </c>
      <c r="G50" s="15">
        <f>IF(OR(NOT(ISNUMBER(C50)),NOT(ISNUMBER(F50))),"",C50*F50)</f>
        <v/>
      </c>
      <c r="H50" s="16">
        <f>IF(AND(ISNUMBER(G50),ISNUMBER(D50)),G50-D50,"")</f>
        <v/>
      </c>
      <c r="I50" s="17">
        <f>IF(AND(ISNUMBER(H50),N(D50)&gt;0),H50/D50,"")</f>
        <v/>
      </c>
      <c r="J50" s="11" t="n"/>
      <c r="K50" s="43">
        <f>IF(B50="","",IFERROR(INDEX(Ratings!$D$6:$D$39,MATCH(B50,Ratings!$A$6:$A$39,0)),"Not rated"))</f>
        <v/>
      </c>
      <c r="L50" s="41">
        <f>IF(B50="","",IFERROR(INDEX(Ratings!$C$6:$C$39,MATCH(B50,Ratings!$A$6:$A$39,0)),""))</f>
        <v/>
      </c>
    </row>
    <row r="51">
      <c r="A51" s="11" t="n"/>
      <c r="B51" s="11" t="n"/>
      <c r="C51" s="12" t="n"/>
      <c r="D51" s="13" t="n"/>
      <c r="E51" s="14">
        <f>IF(AND(ISNUMBER(D51),ISNUMBER(C51),C51&gt;0),D51/C51,"")</f>
        <v/>
      </c>
      <c r="F51" s="14">
        <f>IF(B51="","",IFERROR(INDEX(Prices!$F$8:$F$41,MATCH(B51,Prices!$A$8:$A$41,0)),"Add to Prices"))</f>
        <v/>
      </c>
      <c r="G51" s="15">
        <f>IF(OR(NOT(ISNUMBER(C51)),NOT(ISNUMBER(F51))),"",C51*F51)</f>
        <v/>
      </c>
      <c r="H51" s="16">
        <f>IF(AND(ISNUMBER(G51),ISNUMBER(D51)),G51-D51,"")</f>
        <v/>
      </c>
      <c r="I51" s="17">
        <f>IF(AND(ISNUMBER(H51),N(D51)&gt;0),H51/D51,"")</f>
        <v/>
      </c>
      <c r="J51" s="11" t="n"/>
      <c r="K51" s="43">
        <f>IF(B51="","",IFERROR(INDEX(Ratings!$D$6:$D$39,MATCH(B51,Ratings!$A$6:$A$39,0)),"Not rated"))</f>
        <v/>
      </c>
      <c r="L51" s="41">
        <f>IF(B51="","",IFERROR(INDEX(Ratings!$C$6:$C$39,MATCH(B51,Ratings!$A$6:$A$39,0)),""))</f>
        <v/>
      </c>
    </row>
    <row r="52">
      <c r="A52" s="11" t="n"/>
      <c r="B52" s="11" t="n"/>
      <c r="C52" s="12" t="n"/>
      <c r="D52" s="13" t="n"/>
      <c r="E52" s="14">
        <f>IF(AND(ISNUMBER(D52),ISNUMBER(C52),C52&gt;0),D52/C52,"")</f>
        <v/>
      </c>
      <c r="F52" s="14">
        <f>IF(B52="","",IFERROR(INDEX(Prices!$F$8:$F$41,MATCH(B52,Prices!$A$8:$A$41,0)),"Add to Prices"))</f>
        <v/>
      </c>
      <c r="G52" s="15">
        <f>IF(OR(NOT(ISNUMBER(C52)),NOT(ISNUMBER(F52))),"",C52*F52)</f>
        <v/>
      </c>
      <c r="H52" s="16">
        <f>IF(AND(ISNUMBER(G52),ISNUMBER(D52)),G52-D52,"")</f>
        <v/>
      </c>
      <c r="I52" s="17">
        <f>IF(AND(ISNUMBER(H52),N(D52)&gt;0),H52/D52,"")</f>
        <v/>
      </c>
      <c r="J52" s="11" t="n"/>
      <c r="K52" s="43">
        <f>IF(B52="","",IFERROR(INDEX(Ratings!$D$6:$D$39,MATCH(B52,Ratings!$A$6:$A$39,0)),"Not rated"))</f>
        <v/>
      </c>
      <c r="L52" s="41">
        <f>IF(B52="","",IFERROR(INDEX(Ratings!$C$6:$C$39,MATCH(B52,Ratings!$A$6:$A$39,0)),""))</f>
        <v/>
      </c>
    </row>
    <row r="53">
      <c r="A53" s="11" t="n"/>
      <c r="B53" s="11" t="n"/>
      <c r="C53" s="12" t="n"/>
      <c r="D53" s="13" t="n"/>
      <c r="E53" s="14">
        <f>IF(AND(ISNUMBER(D53),ISNUMBER(C53),C53&gt;0),D53/C53,"")</f>
        <v/>
      </c>
      <c r="F53" s="14">
        <f>IF(B53="","",IFERROR(INDEX(Prices!$F$8:$F$41,MATCH(B53,Prices!$A$8:$A$41,0)),"Add to Prices"))</f>
        <v/>
      </c>
      <c r="G53" s="15">
        <f>IF(OR(NOT(ISNUMBER(C53)),NOT(ISNUMBER(F53))),"",C53*F53)</f>
        <v/>
      </c>
      <c r="H53" s="16">
        <f>IF(AND(ISNUMBER(G53),ISNUMBER(D53)),G53-D53,"")</f>
        <v/>
      </c>
      <c r="I53" s="17">
        <f>IF(AND(ISNUMBER(H53),N(D53)&gt;0),H53/D53,"")</f>
        <v/>
      </c>
      <c r="J53" s="11" t="n"/>
      <c r="K53" s="43">
        <f>IF(B53="","",IFERROR(INDEX(Ratings!$D$6:$D$39,MATCH(B53,Ratings!$A$6:$A$39,0)),"Not rated"))</f>
        <v/>
      </c>
      <c r="L53" s="41">
        <f>IF(B53="","",IFERROR(INDEX(Ratings!$C$6:$C$39,MATCH(B53,Ratings!$A$6:$A$39,0)),""))</f>
        <v/>
      </c>
    </row>
    <row r="54">
      <c r="A54" s="11" t="n"/>
      <c r="B54" s="11" t="n"/>
      <c r="C54" s="12" t="n"/>
      <c r="D54" s="13" t="n"/>
      <c r="E54" s="14">
        <f>IF(AND(ISNUMBER(D54),ISNUMBER(C54),C54&gt;0),D54/C54,"")</f>
        <v/>
      </c>
      <c r="F54" s="14">
        <f>IF(B54="","",IFERROR(INDEX(Prices!$F$8:$F$41,MATCH(B54,Prices!$A$8:$A$41,0)),"Add to Prices"))</f>
        <v/>
      </c>
      <c r="G54" s="15">
        <f>IF(OR(NOT(ISNUMBER(C54)),NOT(ISNUMBER(F54))),"",C54*F54)</f>
        <v/>
      </c>
      <c r="H54" s="16">
        <f>IF(AND(ISNUMBER(G54),ISNUMBER(D54)),G54-D54,"")</f>
        <v/>
      </c>
      <c r="I54" s="17">
        <f>IF(AND(ISNUMBER(H54),N(D54)&gt;0),H54/D54,"")</f>
        <v/>
      </c>
      <c r="J54" s="11" t="n"/>
      <c r="K54" s="43">
        <f>IF(B54="","",IFERROR(INDEX(Ratings!$D$6:$D$39,MATCH(B54,Ratings!$A$6:$A$39,0)),"Not rated"))</f>
        <v/>
      </c>
      <c r="L54" s="41">
        <f>IF(B54="","",IFERROR(INDEX(Ratings!$C$6:$C$39,MATCH(B54,Ratings!$A$6:$A$39,0)),""))</f>
        <v/>
      </c>
    </row>
    <row r="55">
      <c r="A55" s="11" t="n"/>
      <c r="B55" s="11" t="n"/>
      <c r="C55" s="12" t="n"/>
      <c r="D55" s="13" t="n"/>
      <c r="E55" s="14">
        <f>IF(AND(ISNUMBER(D55),ISNUMBER(C55),C55&gt;0),D55/C55,"")</f>
        <v/>
      </c>
      <c r="F55" s="14">
        <f>IF(B55="","",IFERROR(INDEX(Prices!$F$8:$F$41,MATCH(B55,Prices!$A$8:$A$41,0)),"Add to Prices"))</f>
        <v/>
      </c>
      <c r="G55" s="15">
        <f>IF(OR(NOT(ISNUMBER(C55)),NOT(ISNUMBER(F55))),"",C55*F55)</f>
        <v/>
      </c>
      <c r="H55" s="16">
        <f>IF(AND(ISNUMBER(G55),ISNUMBER(D55)),G55-D55,"")</f>
        <v/>
      </c>
      <c r="I55" s="17">
        <f>IF(AND(ISNUMBER(H55),N(D55)&gt;0),H55/D55,"")</f>
        <v/>
      </c>
      <c r="J55" s="11" t="n"/>
      <c r="K55" s="43">
        <f>IF(B55="","",IFERROR(INDEX(Ratings!$D$6:$D$39,MATCH(B55,Ratings!$A$6:$A$39,0)),"Not rated"))</f>
        <v/>
      </c>
      <c r="L55" s="41">
        <f>IF(B55="","",IFERROR(INDEX(Ratings!$C$6:$C$39,MATCH(B55,Ratings!$A$6:$A$39,0)),""))</f>
        <v/>
      </c>
    </row>
    <row r="56">
      <c r="A56" s="11" t="n"/>
      <c r="B56" s="11" t="n"/>
      <c r="C56" s="12" t="n"/>
      <c r="D56" s="13" t="n"/>
      <c r="E56" s="14">
        <f>IF(AND(ISNUMBER(D56),ISNUMBER(C56),C56&gt;0),D56/C56,"")</f>
        <v/>
      </c>
      <c r="F56" s="14">
        <f>IF(B56="","",IFERROR(INDEX(Prices!$F$8:$F$41,MATCH(B56,Prices!$A$8:$A$41,0)),"Add to Prices"))</f>
        <v/>
      </c>
      <c r="G56" s="15">
        <f>IF(OR(NOT(ISNUMBER(C56)),NOT(ISNUMBER(F56))),"",C56*F56)</f>
        <v/>
      </c>
      <c r="H56" s="16">
        <f>IF(AND(ISNUMBER(G56),ISNUMBER(D56)),G56-D56,"")</f>
        <v/>
      </c>
      <c r="I56" s="17">
        <f>IF(AND(ISNUMBER(H56),N(D56)&gt;0),H56/D56,"")</f>
        <v/>
      </c>
      <c r="J56" s="11" t="n"/>
      <c r="K56" s="43">
        <f>IF(B56="","",IFERROR(INDEX(Ratings!$D$6:$D$39,MATCH(B56,Ratings!$A$6:$A$39,0)),"Not rated"))</f>
        <v/>
      </c>
      <c r="L56" s="41">
        <f>IF(B56="","",IFERROR(INDEX(Ratings!$C$6:$C$39,MATCH(B56,Ratings!$A$6:$A$39,0)),""))</f>
        <v/>
      </c>
    </row>
    <row r="57">
      <c r="A57" s="11" t="n"/>
      <c r="B57" s="11" t="n"/>
      <c r="C57" s="12" t="n"/>
      <c r="D57" s="13" t="n"/>
      <c r="E57" s="14">
        <f>IF(AND(ISNUMBER(D57),ISNUMBER(C57),C57&gt;0),D57/C57,"")</f>
        <v/>
      </c>
      <c r="F57" s="14">
        <f>IF(B57="","",IFERROR(INDEX(Prices!$F$8:$F$41,MATCH(B57,Prices!$A$8:$A$41,0)),"Add to Prices"))</f>
        <v/>
      </c>
      <c r="G57" s="15">
        <f>IF(OR(NOT(ISNUMBER(C57)),NOT(ISNUMBER(F57))),"",C57*F57)</f>
        <v/>
      </c>
      <c r="H57" s="16">
        <f>IF(AND(ISNUMBER(G57),ISNUMBER(D57)),G57-D57,"")</f>
        <v/>
      </c>
      <c r="I57" s="17">
        <f>IF(AND(ISNUMBER(H57),N(D57)&gt;0),H57/D57,"")</f>
        <v/>
      </c>
      <c r="J57" s="11" t="n"/>
      <c r="K57" s="43">
        <f>IF(B57="","",IFERROR(INDEX(Ratings!$D$6:$D$39,MATCH(B57,Ratings!$A$6:$A$39,0)),"Not rated"))</f>
        <v/>
      </c>
      <c r="L57" s="41">
        <f>IF(B57="","",IFERROR(INDEX(Ratings!$C$6:$C$39,MATCH(B57,Ratings!$A$6:$A$39,0)),""))</f>
        <v/>
      </c>
    </row>
    <row r="58">
      <c r="A58" s="11" t="n"/>
      <c r="B58" s="11" t="n"/>
      <c r="C58" s="12" t="n"/>
      <c r="D58" s="13" t="n"/>
      <c r="E58" s="14">
        <f>IF(AND(ISNUMBER(D58),ISNUMBER(C58),C58&gt;0),D58/C58,"")</f>
        <v/>
      </c>
      <c r="F58" s="14">
        <f>IF(B58="","",IFERROR(INDEX(Prices!$F$8:$F$41,MATCH(B58,Prices!$A$8:$A$41,0)),"Add to Prices"))</f>
        <v/>
      </c>
      <c r="G58" s="15">
        <f>IF(OR(NOT(ISNUMBER(C58)),NOT(ISNUMBER(F58))),"",C58*F58)</f>
        <v/>
      </c>
      <c r="H58" s="16">
        <f>IF(AND(ISNUMBER(G58),ISNUMBER(D58)),G58-D58,"")</f>
        <v/>
      </c>
      <c r="I58" s="17">
        <f>IF(AND(ISNUMBER(H58),N(D58)&gt;0),H58/D58,"")</f>
        <v/>
      </c>
      <c r="J58" s="11" t="n"/>
      <c r="K58" s="43">
        <f>IF(B58="","",IFERROR(INDEX(Ratings!$D$6:$D$39,MATCH(B58,Ratings!$A$6:$A$39,0)),"Not rated"))</f>
        <v/>
      </c>
      <c r="L58" s="41">
        <f>IF(B58="","",IFERROR(INDEX(Ratings!$C$6:$C$39,MATCH(B58,Ratings!$A$6:$A$39,0)),""))</f>
        <v/>
      </c>
    </row>
    <row r="59">
      <c r="A59" s="11" t="n"/>
      <c r="B59" s="11" t="n"/>
      <c r="C59" s="12" t="n"/>
      <c r="D59" s="13" t="n"/>
      <c r="E59" s="14">
        <f>IF(AND(ISNUMBER(D59),ISNUMBER(C59),C59&gt;0),D59/C59,"")</f>
        <v/>
      </c>
      <c r="F59" s="14">
        <f>IF(B59="","",IFERROR(INDEX(Prices!$F$8:$F$41,MATCH(B59,Prices!$A$8:$A$41,0)),"Add to Prices"))</f>
        <v/>
      </c>
      <c r="G59" s="15">
        <f>IF(OR(NOT(ISNUMBER(C59)),NOT(ISNUMBER(F59))),"",C59*F59)</f>
        <v/>
      </c>
      <c r="H59" s="16">
        <f>IF(AND(ISNUMBER(G59),ISNUMBER(D59)),G59-D59,"")</f>
        <v/>
      </c>
      <c r="I59" s="17">
        <f>IF(AND(ISNUMBER(H59),N(D59)&gt;0),H59/D59,"")</f>
        <v/>
      </c>
      <c r="J59" s="11" t="n"/>
      <c r="K59" s="43">
        <f>IF(B59="","",IFERROR(INDEX(Ratings!$D$6:$D$39,MATCH(B59,Ratings!$A$6:$A$39,0)),"Not rated"))</f>
        <v/>
      </c>
      <c r="L59" s="41">
        <f>IF(B59="","",IFERROR(INDEX(Ratings!$C$6:$C$39,MATCH(B59,Ratings!$A$6:$A$39,0)),""))</f>
        <v/>
      </c>
    </row>
    <row r="60">
      <c r="A60" s="11" t="n"/>
      <c r="B60" s="11" t="n"/>
      <c r="C60" s="12" t="n"/>
      <c r="D60" s="13" t="n"/>
      <c r="E60" s="14">
        <f>IF(AND(ISNUMBER(D60),ISNUMBER(C60),C60&gt;0),D60/C60,"")</f>
        <v/>
      </c>
      <c r="F60" s="14">
        <f>IF(B60="","",IFERROR(INDEX(Prices!$F$8:$F$41,MATCH(B60,Prices!$A$8:$A$41,0)),"Add to Prices"))</f>
        <v/>
      </c>
      <c r="G60" s="15">
        <f>IF(OR(NOT(ISNUMBER(C60)),NOT(ISNUMBER(F60))),"",C60*F60)</f>
        <v/>
      </c>
      <c r="H60" s="16">
        <f>IF(AND(ISNUMBER(G60),ISNUMBER(D60)),G60-D60,"")</f>
        <v/>
      </c>
      <c r="I60" s="17">
        <f>IF(AND(ISNUMBER(H60),N(D60)&gt;0),H60/D60,"")</f>
        <v/>
      </c>
      <c r="J60" s="11" t="n"/>
      <c r="K60" s="43">
        <f>IF(B60="","",IFERROR(INDEX(Ratings!$D$6:$D$39,MATCH(B60,Ratings!$A$6:$A$39,0)),"Not rated"))</f>
        <v/>
      </c>
      <c r="L60" s="41">
        <f>IF(B60="","",IFERROR(INDEX(Ratings!$C$6:$C$39,MATCH(B60,Ratings!$A$6:$A$39,0)),""))</f>
        <v/>
      </c>
    </row>
    <row r="61">
      <c r="A61" s="11" t="n"/>
      <c r="B61" s="11" t="n"/>
      <c r="C61" s="12" t="n"/>
      <c r="D61" s="13" t="n"/>
      <c r="E61" s="14">
        <f>IF(AND(ISNUMBER(D61),ISNUMBER(C61),C61&gt;0),D61/C61,"")</f>
        <v/>
      </c>
      <c r="F61" s="14">
        <f>IF(B61="","",IFERROR(INDEX(Prices!$F$8:$F$41,MATCH(B61,Prices!$A$8:$A$41,0)),"Add to Prices"))</f>
        <v/>
      </c>
      <c r="G61" s="15">
        <f>IF(OR(NOT(ISNUMBER(C61)),NOT(ISNUMBER(F61))),"",C61*F61)</f>
        <v/>
      </c>
      <c r="H61" s="16">
        <f>IF(AND(ISNUMBER(G61),ISNUMBER(D61)),G61-D61,"")</f>
        <v/>
      </c>
      <c r="I61" s="17">
        <f>IF(AND(ISNUMBER(H61),N(D61)&gt;0),H61/D61,"")</f>
        <v/>
      </c>
      <c r="J61" s="11" t="n"/>
      <c r="K61" s="43">
        <f>IF(B61="","",IFERROR(INDEX(Ratings!$D$6:$D$39,MATCH(B61,Ratings!$A$6:$A$39,0)),"Not rated"))</f>
        <v/>
      </c>
      <c r="L61" s="41">
        <f>IF(B61="","",IFERROR(INDEX(Ratings!$C$6:$C$39,MATCH(B61,Ratings!$A$6:$A$39,0)),""))</f>
        <v/>
      </c>
    </row>
    <row r="62">
      <c r="A62" s="11" t="n"/>
      <c r="B62" s="11" t="n"/>
      <c r="C62" s="12" t="n"/>
      <c r="D62" s="13" t="n"/>
      <c r="E62" s="14">
        <f>IF(AND(ISNUMBER(D62),ISNUMBER(C62),C62&gt;0),D62/C62,"")</f>
        <v/>
      </c>
      <c r="F62" s="14">
        <f>IF(B62="","",IFERROR(INDEX(Prices!$F$8:$F$41,MATCH(B62,Prices!$A$8:$A$41,0)),"Add to Prices"))</f>
        <v/>
      </c>
      <c r="G62" s="15">
        <f>IF(OR(NOT(ISNUMBER(C62)),NOT(ISNUMBER(F62))),"",C62*F62)</f>
        <v/>
      </c>
      <c r="H62" s="16">
        <f>IF(AND(ISNUMBER(G62),ISNUMBER(D62)),G62-D62,"")</f>
        <v/>
      </c>
      <c r="I62" s="17">
        <f>IF(AND(ISNUMBER(H62),N(D62)&gt;0),H62/D62,"")</f>
        <v/>
      </c>
      <c r="J62" s="11" t="n"/>
      <c r="K62" s="43">
        <f>IF(B62="","",IFERROR(INDEX(Ratings!$D$6:$D$39,MATCH(B62,Ratings!$A$6:$A$39,0)),"Not rated"))</f>
        <v/>
      </c>
      <c r="L62" s="41">
        <f>IF(B62="","",IFERROR(INDEX(Ratings!$C$6:$C$39,MATCH(B62,Ratings!$A$6:$A$39,0)),""))</f>
        <v/>
      </c>
    </row>
    <row r="63">
      <c r="A63" s="11" t="n"/>
      <c r="B63" s="11" t="n"/>
      <c r="C63" s="12" t="n"/>
      <c r="D63" s="13" t="n"/>
      <c r="E63" s="14">
        <f>IF(AND(ISNUMBER(D63),ISNUMBER(C63),C63&gt;0),D63/C63,"")</f>
        <v/>
      </c>
      <c r="F63" s="14">
        <f>IF(B63="","",IFERROR(INDEX(Prices!$F$8:$F$41,MATCH(B63,Prices!$A$8:$A$41,0)),"Add to Prices"))</f>
        <v/>
      </c>
      <c r="G63" s="15">
        <f>IF(OR(NOT(ISNUMBER(C63)),NOT(ISNUMBER(F63))),"",C63*F63)</f>
        <v/>
      </c>
      <c r="H63" s="16">
        <f>IF(AND(ISNUMBER(G63),ISNUMBER(D63)),G63-D63,"")</f>
        <v/>
      </c>
      <c r="I63" s="17">
        <f>IF(AND(ISNUMBER(H63),N(D63)&gt;0),H63/D63,"")</f>
        <v/>
      </c>
      <c r="J63" s="11" t="n"/>
      <c r="K63" s="43">
        <f>IF(B63="","",IFERROR(INDEX(Ratings!$D$6:$D$39,MATCH(B63,Ratings!$A$6:$A$39,0)),"Not rated"))</f>
        <v/>
      </c>
      <c r="L63" s="41">
        <f>IF(B63="","",IFERROR(INDEX(Ratings!$C$6:$C$39,MATCH(B63,Ratings!$A$6:$A$39,0)),""))</f>
        <v/>
      </c>
    </row>
    <row r="64">
      <c r="A64" s="11" t="n"/>
      <c r="B64" s="11" t="n"/>
      <c r="C64" s="12" t="n"/>
      <c r="D64" s="13" t="n"/>
      <c r="E64" s="14">
        <f>IF(AND(ISNUMBER(D64),ISNUMBER(C64),C64&gt;0),D64/C64,"")</f>
        <v/>
      </c>
      <c r="F64" s="14">
        <f>IF(B64="","",IFERROR(INDEX(Prices!$F$8:$F$41,MATCH(B64,Prices!$A$8:$A$41,0)),"Add to Prices"))</f>
        <v/>
      </c>
      <c r="G64" s="15">
        <f>IF(OR(NOT(ISNUMBER(C64)),NOT(ISNUMBER(F64))),"",C64*F64)</f>
        <v/>
      </c>
      <c r="H64" s="16">
        <f>IF(AND(ISNUMBER(G64),ISNUMBER(D64)),G64-D64,"")</f>
        <v/>
      </c>
      <c r="I64" s="17">
        <f>IF(AND(ISNUMBER(H64),N(D64)&gt;0),H64/D64,"")</f>
        <v/>
      </c>
      <c r="J64" s="11" t="n"/>
      <c r="K64" s="43">
        <f>IF(B64="","",IFERROR(INDEX(Ratings!$D$6:$D$39,MATCH(B64,Ratings!$A$6:$A$39,0)),"Not rated"))</f>
        <v/>
      </c>
      <c r="L64" s="41">
        <f>IF(B64="","",IFERROR(INDEX(Ratings!$C$6:$C$39,MATCH(B64,Ratings!$A$6:$A$39,0)),""))</f>
        <v/>
      </c>
    </row>
    <row r="65">
      <c r="A65" s="11" t="n"/>
      <c r="B65" s="11" t="n"/>
      <c r="C65" s="12" t="n"/>
      <c r="D65" s="13" t="n"/>
      <c r="E65" s="14">
        <f>IF(AND(ISNUMBER(D65),ISNUMBER(C65),C65&gt;0),D65/C65,"")</f>
        <v/>
      </c>
      <c r="F65" s="14">
        <f>IF(B65="","",IFERROR(INDEX(Prices!$F$8:$F$41,MATCH(B65,Prices!$A$8:$A$41,0)),"Add to Prices"))</f>
        <v/>
      </c>
      <c r="G65" s="15">
        <f>IF(OR(NOT(ISNUMBER(C65)),NOT(ISNUMBER(F65))),"",C65*F65)</f>
        <v/>
      </c>
      <c r="H65" s="16">
        <f>IF(AND(ISNUMBER(G65),ISNUMBER(D65)),G65-D65,"")</f>
        <v/>
      </c>
      <c r="I65" s="17">
        <f>IF(AND(ISNUMBER(H65),N(D65)&gt;0),H65/D65,"")</f>
        <v/>
      </c>
      <c r="J65" s="11" t="n"/>
      <c r="K65" s="43">
        <f>IF(B65="","",IFERROR(INDEX(Ratings!$D$6:$D$39,MATCH(B65,Ratings!$A$6:$A$39,0)),"Not rated"))</f>
        <v/>
      </c>
      <c r="L65" s="41">
        <f>IF(B65="","",IFERROR(INDEX(Ratings!$C$6:$C$39,MATCH(B65,Ratings!$A$6:$A$39,0)),""))</f>
        <v/>
      </c>
    </row>
    <row r="66">
      <c r="A66" s="11" t="n"/>
      <c r="B66" s="11" t="n"/>
      <c r="C66" s="12" t="n"/>
      <c r="D66" s="13" t="n"/>
      <c r="E66" s="14">
        <f>IF(AND(ISNUMBER(D66),ISNUMBER(C66),C66&gt;0),D66/C66,"")</f>
        <v/>
      </c>
      <c r="F66" s="14">
        <f>IF(B66="","",IFERROR(INDEX(Prices!$F$8:$F$41,MATCH(B66,Prices!$A$8:$A$41,0)),"Add to Prices"))</f>
        <v/>
      </c>
      <c r="G66" s="15">
        <f>IF(OR(NOT(ISNUMBER(C66)),NOT(ISNUMBER(F66))),"",C66*F66)</f>
        <v/>
      </c>
      <c r="H66" s="16">
        <f>IF(AND(ISNUMBER(G66),ISNUMBER(D66)),G66-D66,"")</f>
        <v/>
      </c>
      <c r="I66" s="17">
        <f>IF(AND(ISNUMBER(H66),N(D66)&gt;0),H66/D66,"")</f>
        <v/>
      </c>
      <c r="J66" s="11" t="n"/>
      <c r="K66" s="43">
        <f>IF(B66="","",IFERROR(INDEX(Ratings!$D$6:$D$39,MATCH(B66,Ratings!$A$6:$A$39,0)),"Not rated"))</f>
        <v/>
      </c>
      <c r="L66" s="41">
        <f>IF(B66="","",IFERROR(INDEX(Ratings!$C$6:$C$39,MATCH(B66,Ratings!$A$6:$A$39,0)),""))</f>
        <v/>
      </c>
    </row>
    <row r="67">
      <c r="A67" s="11" t="n"/>
      <c r="B67" s="11" t="n"/>
      <c r="C67" s="12" t="n"/>
      <c r="D67" s="13" t="n"/>
      <c r="E67" s="14">
        <f>IF(AND(ISNUMBER(D67),ISNUMBER(C67),C67&gt;0),D67/C67,"")</f>
        <v/>
      </c>
      <c r="F67" s="14">
        <f>IF(B67="","",IFERROR(INDEX(Prices!$F$8:$F$41,MATCH(B67,Prices!$A$8:$A$41,0)),"Add to Prices"))</f>
        <v/>
      </c>
      <c r="G67" s="15">
        <f>IF(OR(NOT(ISNUMBER(C67)),NOT(ISNUMBER(F67))),"",C67*F67)</f>
        <v/>
      </c>
      <c r="H67" s="16">
        <f>IF(AND(ISNUMBER(G67),ISNUMBER(D67)),G67-D67,"")</f>
        <v/>
      </c>
      <c r="I67" s="17">
        <f>IF(AND(ISNUMBER(H67),N(D67)&gt;0),H67/D67,"")</f>
        <v/>
      </c>
      <c r="J67" s="11" t="n"/>
      <c r="K67" s="43">
        <f>IF(B67="","",IFERROR(INDEX(Ratings!$D$6:$D$39,MATCH(B67,Ratings!$A$6:$A$39,0)),"Not rated"))</f>
        <v/>
      </c>
      <c r="L67" s="41">
        <f>IF(B67="","",IFERROR(INDEX(Ratings!$C$6:$C$39,MATCH(B67,Ratings!$A$6:$A$39,0)),""))</f>
        <v/>
      </c>
    </row>
    <row r="68">
      <c r="A68" s="11" t="n"/>
      <c r="B68" s="11" t="n"/>
      <c r="C68" s="12" t="n"/>
      <c r="D68" s="13" t="n"/>
      <c r="E68" s="14">
        <f>IF(AND(ISNUMBER(D68),ISNUMBER(C68),C68&gt;0),D68/C68,"")</f>
        <v/>
      </c>
      <c r="F68" s="14">
        <f>IF(B68="","",IFERROR(INDEX(Prices!$F$8:$F$41,MATCH(B68,Prices!$A$8:$A$41,0)),"Add to Prices"))</f>
        <v/>
      </c>
      <c r="G68" s="15">
        <f>IF(OR(NOT(ISNUMBER(C68)),NOT(ISNUMBER(F68))),"",C68*F68)</f>
        <v/>
      </c>
      <c r="H68" s="16">
        <f>IF(AND(ISNUMBER(G68),ISNUMBER(D68)),G68-D68,"")</f>
        <v/>
      </c>
      <c r="I68" s="17">
        <f>IF(AND(ISNUMBER(H68),N(D68)&gt;0),H68/D68,"")</f>
        <v/>
      </c>
      <c r="J68" s="11" t="n"/>
      <c r="K68" s="43">
        <f>IF(B68="","",IFERROR(INDEX(Ratings!$D$6:$D$39,MATCH(B68,Ratings!$A$6:$A$39,0)),"Not rated"))</f>
        <v/>
      </c>
      <c r="L68" s="41">
        <f>IF(B68="","",IFERROR(INDEX(Ratings!$C$6:$C$39,MATCH(B68,Ratings!$A$6:$A$39,0)),""))</f>
        <v/>
      </c>
    </row>
    <row r="69">
      <c r="A69" s="11" t="n"/>
      <c r="B69" s="11" t="n"/>
      <c r="C69" s="12" t="n"/>
      <c r="D69" s="13" t="n"/>
      <c r="E69" s="14">
        <f>IF(AND(ISNUMBER(D69),ISNUMBER(C69),C69&gt;0),D69/C69,"")</f>
        <v/>
      </c>
      <c r="F69" s="14">
        <f>IF(B69="","",IFERROR(INDEX(Prices!$F$8:$F$41,MATCH(B69,Prices!$A$8:$A$41,0)),"Add to Prices"))</f>
        <v/>
      </c>
      <c r="G69" s="15">
        <f>IF(OR(NOT(ISNUMBER(C69)),NOT(ISNUMBER(F69))),"",C69*F69)</f>
        <v/>
      </c>
      <c r="H69" s="16">
        <f>IF(AND(ISNUMBER(G69),ISNUMBER(D69)),G69-D69,"")</f>
        <v/>
      </c>
      <c r="I69" s="17">
        <f>IF(AND(ISNUMBER(H69),N(D69)&gt;0),H69/D69,"")</f>
        <v/>
      </c>
      <c r="J69" s="11" t="n"/>
      <c r="K69" s="43">
        <f>IF(B69="","",IFERROR(INDEX(Ratings!$D$6:$D$39,MATCH(B69,Ratings!$A$6:$A$39,0)),"Not rated"))</f>
        <v/>
      </c>
      <c r="L69" s="41">
        <f>IF(B69="","",IFERROR(INDEX(Ratings!$C$6:$C$39,MATCH(B69,Ratings!$A$6:$A$39,0)),""))</f>
        <v/>
      </c>
    </row>
    <row r="70">
      <c r="A70" s="18" t="inlineStr">
        <is>
          <t>TOTAL</t>
        </is>
      </c>
      <c r="B70" s="19" t="n"/>
      <c r="C70" s="19" t="n"/>
      <c r="D70" s="15">
        <f>SUM(D10:D69)</f>
        <v/>
      </c>
      <c r="E70" s="19" t="n"/>
      <c r="F70" s="19" t="n"/>
      <c r="G70" s="15">
        <f>SUM(G10:G69)</f>
        <v/>
      </c>
      <c r="H70" s="15">
        <f>SUM(H10:H69)</f>
        <v/>
      </c>
      <c r="I70" s="20">
        <f>IFERROR(H70/SUMPRODUCT(--ISNUMBER(H10:H69),D10:D69),"")</f>
        <v/>
      </c>
      <c r="J70" s="19" t="n"/>
      <c r="K70" s="19" t="n"/>
      <c r="L70" s="42">
        <f>Ratings!$G$41</f>
        <v/>
      </c>
    </row>
  </sheetData>
  <mergeCells count="12">
    <mergeCell ref="A4:B4"/>
    <mergeCell ref="G4:H4"/>
    <mergeCell ref="E4:F4"/>
    <mergeCell ref="I4:J4"/>
    <mergeCell ref="A6:J6"/>
    <mergeCell ref="C5:D5"/>
    <mergeCell ref="A5:B5"/>
    <mergeCell ref="G5:H5"/>
    <mergeCell ref="E5:F5"/>
    <mergeCell ref="I5:J5"/>
    <mergeCell ref="A2:J2"/>
    <mergeCell ref="C4:D4"/>
  </mergeCells>
  <conditionalFormatting sqref="H10:I70">
    <cfRule type="expression" priority="1" dxfId="0">
      <formula>AND(ISNUMBER(H10),H10&gt;0)</formula>
    </cfRule>
    <cfRule type="expression" priority="2" dxfId="1">
      <formula>AND(ISNUMBER(H10),H10&lt;0)</formula>
    </cfRule>
  </conditionalFormatting>
  <conditionalFormatting sqref="E5:F5">
    <cfRule type="expression" priority="3" dxfId="2">
      <formula>AND(ISNUMBER($E$5),$E$5&gt;0)</formula>
    </cfRule>
    <cfRule type="expression" priority="4" dxfId="3">
      <formula>AND(ISNUMBER($E$5),$E$5&lt;0)</formula>
    </cfRule>
  </conditionalFormatting>
  <conditionalFormatting sqref="K10:K69">
    <cfRule type="expression" priority="20" dxfId="5">
      <formula>K10="Exceptional"</formula>
    </cfRule>
    <cfRule type="expression" priority="21" dxfId="6">
      <formula>K10="Strong"</formula>
    </cfRule>
    <cfRule type="expression" priority="22" dxfId="7">
      <formula>K10="Average/Decent"</formula>
    </cfRule>
    <cfRule type="expression" priority="23" dxfId="8">
      <formula>K10="Weak"</formula>
    </cfRule>
  </conditionalFormatting>
  <dataValidations count="1">
    <dataValidation sqref="B10 B11 B12 B13 B14 B15 B16 B17 B18 B19 B20 B21 B22 B23 B24 B25 B26 B27 B28 B29 B30 B31 B32 B33 B34 B35 B36 B37 B38 B39 B40 B41 B42 B43 B44 B45 B46 B47 B48 B49 B50 B51 B52 B53 B54 B55 B56 B57 B58 B59 B60 B61 B62 B63 B64 B65 B66 B67 B68 B69" showDropDown="0" showInputMessage="0" showErrorMessage="1" allowBlank="1" errorTitle="Unknown coin" error="Pick a coin from the list, or add it on the Prices tab first." type="list">
      <formula1>=Prices!$A$8:$A$41</formula1>
    </dataValidation>
  </dataValidations>
  <pageMargins left="0.75" right="0.75" top="1" bottom="1" header="0.5" footer="0.5"/>
  <pageSetup orientation="landscape" fitToHeight="0" fitToWidth="1"/>
</worksheet>
</file>

<file path=xl/worksheets/sheet2.xml><?xml version="1.0" encoding="utf-8"?>
<worksheet xmlns="http://schemas.openxmlformats.org/spreadsheetml/2006/main">
  <sheetPr>
    <outlinePr summaryBelow="1" summaryRight="1"/>
    <pageSetUpPr fitToPage="1"/>
  </sheetPr>
  <dimension ref="A1:AF39"/>
  <sheetViews>
    <sheetView workbookViewId="0">
      <selection activeCell="A1" sqref="A1"/>
    </sheetView>
  </sheetViews>
  <sheetFormatPr baseColWidth="8" defaultRowHeight="15"/>
  <cols>
    <col width="9" customWidth="1" min="1" max="1"/>
    <col width="16" customWidth="1" min="2" max="2"/>
    <col width="14" customWidth="1" min="3" max="3"/>
    <col width="14" customWidth="1" min="4" max="4"/>
    <col width="16" customWidth="1" min="5" max="5"/>
    <col width="10" customWidth="1" min="6" max="6"/>
    <col width="10" customWidth="1" min="7" max="7"/>
    <col width="3" customWidth="1" min="8" max="8"/>
    <col width="14" customWidth="1" min="9" max="9"/>
    <col width="14" customWidth="1" min="10" max="10"/>
    <col width="14" customWidth="1" min="11" max="11"/>
    <col width="16" customWidth="1" min="12" max="12"/>
    <col width="10" customWidth="1" min="13" max="13"/>
    <col hidden="1" width="13" customWidth="1" min="27" max="27"/>
    <col hidden="1" width="13" customWidth="1" min="28" max="28"/>
    <col hidden="1" width="13" customWidth="1" min="29" max="29"/>
    <col hidden="1" width="13" customWidth="1" min="30" max="30"/>
    <col hidden="1" width="13" customWidth="1" min="31" max="31"/>
    <col hidden="1" width="13" customWidth="1" min="32" max="32"/>
  </cols>
  <sheetData>
    <row r="1">
      <c r="A1" s="1" t="inlineStr">
        <is>
          <t>Summary</t>
        </is>
      </c>
    </row>
    <row r="2">
      <c r="A2" s="9" t="inlineStr">
        <is>
          <t>By coin and by location, from the Portfolio tab. Allocation = share of total value.</t>
        </is>
      </c>
    </row>
    <row r="4" ht="30" customHeight="1">
      <c r="A4" s="10" t="inlineStr">
        <is>
          <t>Coin</t>
        </is>
      </c>
      <c r="B4" s="10" t="inlineStr">
        <is>
          <t>Quantity</t>
        </is>
      </c>
      <c r="C4" s="10" t="inlineStr">
        <is>
          <t>Value ($)</t>
        </is>
      </c>
      <c r="D4" s="10" t="inlineStr">
        <is>
          <t>Total cost ($)</t>
        </is>
      </c>
      <c r="E4" s="10" t="inlineStr">
        <is>
          <t>Unrealized P&amp;L ($)</t>
        </is>
      </c>
      <c r="F4" s="10" t="inlineStr">
        <is>
          <t>Return %</t>
        </is>
      </c>
      <c r="G4" s="10" t="inlineStr">
        <is>
          <t>Allocation</t>
        </is>
      </c>
      <c r="I4" s="10" t="inlineStr">
        <is>
          <t>Location</t>
        </is>
      </c>
      <c r="J4" s="10" t="inlineStr">
        <is>
          <t>Value ($)</t>
        </is>
      </c>
      <c r="K4" s="10" t="inlineStr">
        <is>
          <t>Total cost ($)</t>
        </is>
      </c>
      <c r="L4" s="10" t="inlineStr">
        <is>
          <t>Unrealized P&amp;L ($)</t>
        </is>
      </c>
      <c r="M4" s="10" t="inlineStr">
        <is>
          <t>Allocation</t>
        </is>
      </c>
      <c r="AA4" s="21" t="inlineStr">
        <is>
          <t>key</t>
        </is>
      </c>
      <c r="AB4" s="21" t="inlineStr">
        <is>
          <t>sorted key</t>
        </is>
      </c>
      <c r="AC4" s="21" t="inlineStr">
        <is>
          <t>pie label</t>
        </is>
      </c>
      <c r="AD4" s="21" t="inlineStr">
        <is>
          <t>pie value</t>
        </is>
      </c>
      <c r="AF4" s="21" t="inlineStr">
        <is>
          <t>settings</t>
        </is>
      </c>
    </row>
    <row r="5">
      <c r="A5" s="22">
        <f>IF(Prices!$A$8="","",Prices!$A$8)</f>
        <v/>
      </c>
      <c r="B5" s="23">
        <f>IF(A5="","",SUMIFS(Portfolio!$C$10:$C$69,Portfolio!$B$10:$B$69,A5))</f>
        <v/>
      </c>
      <c r="C5" s="16">
        <f>IF(A5="","",SUMIFS(Portfolio!$G$10:$G$69,Portfolio!$B$10:$B$69,A5))</f>
        <v/>
      </c>
      <c r="D5" s="16">
        <f>IF(A5="","",SUMIFS(Portfolio!$D$10:$D$69,Portfolio!$B$10:$B$69,A5))</f>
        <v/>
      </c>
      <c r="E5" s="16">
        <f>IF(A5="","",IF(COUNTIFS(Portfolio!$B$10:$B$69,A5,Portfolio!$H$10:$H$69,"&lt;&gt;")=0,"",SUMIFS(Portfolio!$H$10:$H$69,Portfolio!$B$10:$B$69,A5)))</f>
        <v/>
      </c>
      <c r="F5" s="17">
        <f>IF(OR(E5="",N(D5)=0),"",E5/SUMIFS(Portfolio!$D$10:$D$69,Portfolio!$B$10:$B$69,A5,Portfolio!$H$10:$H$69,"&lt;&gt;"))</f>
        <v/>
      </c>
      <c r="G5" s="17">
        <f>IF(OR(A5="",N(Portfolio!$G$70)=0),"",C5/Portfolio!$G$70)</f>
        <v/>
      </c>
      <c r="I5" s="11" t="inlineStr">
        <is>
          <t>Coinbase</t>
        </is>
      </c>
      <c r="J5" s="16">
        <f>IF(I5="","",SUMIFS(Portfolio!$G$10:$G$69,Portfolio!$A$10:$A$69,I5))</f>
        <v/>
      </c>
      <c r="K5" s="16">
        <f>IF(I5="","",SUMIFS(Portfolio!$D$10:$D$69,Portfolio!$A$10:$A$69,I5))</f>
        <v/>
      </c>
      <c r="L5" s="16">
        <f>IF(I5="","",IF(COUNTIFS(Portfolio!$A$10:$A$69,I5,Portfolio!$H$10:$H$69,"&lt;&gt;")=0,"",SUMIFS(Portfolio!$H$10:$H$69,Portfolio!$A$10:$A$69,I5)))</f>
        <v/>
      </c>
      <c r="M5" s="17">
        <f>IF(OR(I5="",N(Portfolio!$G$70)=0),"",J5/Portfolio!$G$70)</f>
        <v/>
      </c>
      <c r="AA5" s="21">
        <f>IF(AND(ISNUMBER(C5),N(C5)&gt;0),C5+ROW()/1E9,"")</f>
        <v/>
      </c>
      <c r="AB5" s="21">
        <f>IF(1&gt;$AF$7,"",_xlfn.AGGREGATE(14,6,$AA$5:$AA$38,1))</f>
        <v/>
      </c>
      <c r="AC5" s="21">
        <f>IF(AB5&lt;&gt;"",INDEX($A$5:$A$38,MATCH(AB5,$AA$5:$AA$38,0)),IF(AND(1=$AF$7+1,$AF$8&gt;0.005),"Other (under "&amp;TEXT($AF$5,"0%")&amp;" each)",""))</f>
        <v/>
      </c>
      <c r="AD5" s="21">
        <f>IF(AB5&lt;&gt;"",INDEX($C$5:$C$38,MATCH(AB5,$AA$5:$AA$38,0)),IF(AC5&lt;&gt;"",$AF$8,""))</f>
        <v/>
      </c>
      <c r="AE5" t="inlineStr">
        <is>
          <t>group under</t>
        </is>
      </c>
      <c r="AF5" t="n">
        <v>0.03</v>
      </c>
    </row>
    <row r="6">
      <c r="A6" s="22">
        <f>IF(Prices!$A$9="","",Prices!$A$9)</f>
        <v/>
      </c>
      <c r="B6" s="23">
        <f>IF(A6="","",SUMIFS(Portfolio!$C$10:$C$69,Portfolio!$B$10:$B$69,A6))</f>
        <v/>
      </c>
      <c r="C6" s="16">
        <f>IF(A6="","",SUMIFS(Portfolio!$G$10:$G$69,Portfolio!$B$10:$B$69,A6))</f>
        <v/>
      </c>
      <c r="D6" s="16">
        <f>IF(A6="","",SUMIFS(Portfolio!$D$10:$D$69,Portfolio!$B$10:$B$69,A6))</f>
        <v/>
      </c>
      <c r="E6" s="16">
        <f>IF(A6="","",IF(COUNTIFS(Portfolio!$B$10:$B$69,A6,Portfolio!$H$10:$H$69,"&lt;&gt;")=0,"",SUMIFS(Portfolio!$H$10:$H$69,Portfolio!$B$10:$B$69,A6)))</f>
        <v/>
      </c>
      <c r="F6" s="17">
        <f>IF(OR(E6="",N(D6)=0),"",E6/SUMIFS(Portfolio!$D$10:$D$69,Portfolio!$B$10:$B$69,A6,Portfolio!$H$10:$H$69,"&lt;&gt;"))</f>
        <v/>
      </c>
      <c r="G6" s="17">
        <f>IF(OR(A6="",N(Portfolio!$G$70)=0),"",C6/Portfolio!$G$70)</f>
        <v/>
      </c>
      <c r="I6" s="11" t="inlineStr">
        <is>
          <t>Ledger</t>
        </is>
      </c>
      <c r="J6" s="16">
        <f>IF(I6="","",SUMIFS(Portfolio!$G$10:$G$69,Portfolio!$A$10:$A$69,I6))</f>
        <v/>
      </c>
      <c r="K6" s="16">
        <f>IF(I6="","",SUMIFS(Portfolio!$D$10:$D$69,Portfolio!$A$10:$A$69,I6))</f>
        <v/>
      </c>
      <c r="L6" s="16">
        <f>IF(I6="","",IF(COUNTIFS(Portfolio!$A$10:$A$69,I6,Portfolio!$H$10:$H$69,"&lt;&gt;")=0,"",SUMIFS(Portfolio!$H$10:$H$69,Portfolio!$A$10:$A$69,I6)))</f>
        <v/>
      </c>
      <c r="M6" s="17">
        <f>IF(OR(I6="",N(Portfolio!$G$70)=0),"",J6/Portfolio!$G$70)</f>
        <v/>
      </c>
      <c r="AA6" s="21">
        <f>IF(AND(ISNUMBER(C6),N(C6)&gt;0),C6+ROW()/1E9,"")</f>
        <v/>
      </c>
      <c r="AB6" s="21">
        <f>IF(2&gt;$AF$7,"",_xlfn.AGGREGATE(14,6,$AA$5:$AA$38,2))</f>
        <v/>
      </c>
      <c r="AC6" s="21">
        <f>IF(AB6&lt;&gt;"",INDEX($A$5:$A$38,MATCH(AB6,$AA$5:$AA$38,0)),IF(AND(2=$AF$7+1,$AF$8&gt;0.005),"Other (under "&amp;TEXT($AF$5,"0%")&amp;" each)",""))</f>
        <v/>
      </c>
      <c r="AD6" s="21">
        <f>IF(AB6&lt;&gt;"",INDEX($C$5:$C$38,MATCH(AB6,$AA$5:$AA$38,0)),IF(AC6&lt;&gt;"",$AF$8,""))</f>
        <v/>
      </c>
      <c r="AE6" t="inlineStr">
        <is>
          <t>threshold $</t>
        </is>
      </c>
      <c r="AF6">
        <f>N(Portfolio!$G$70)*$AF$5</f>
        <v/>
      </c>
    </row>
    <row r="7">
      <c r="A7" s="22">
        <f>IF(Prices!$A$10="","",Prices!$A$10)</f>
        <v/>
      </c>
      <c r="B7" s="23">
        <f>IF(A7="","",SUMIFS(Portfolio!$C$10:$C$69,Portfolio!$B$10:$B$69,A7))</f>
        <v/>
      </c>
      <c r="C7" s="16">
        <f>IF(A7="","",SUMIFS(Portfolio!$G$10:$G$69,Portfolio!$B$10:$B$69,A7))</f>
        <v/>
      </c>
      <c r="D7" s="16">
        <f>IF(A7="","",SUMIFS(Portfolio!$D$10:$D$69,Portfolio!$B$10:$B$69,A7))</f>
        <v/>
      </c>
      <c r="E7" s="16">
        <f>IF(A7="","",IF(COUNTIFS(Portfolio!$B$10:$B$69,A7,Portfolio!$H$10:$H$69,"&lt;&gt;")=0,"",SUMIFS(Portfolio!$H$10:$H$69,Portfolio!$B$10:$B$69,A7)))</f>
        <v/>
      </c>
      <c r="F7" s="17">
        <f>IF(OR(E7="",N(D7)=0),"",E7/SUMIFS(Portfolio!$D$10:$D$69,Portfolio!$B$10:$B$69,A7,Portfolio!$H$10:$H$69,"&lt;&gt;"))</f>
        <v/>
      </c>
      <c r="G7" s="17">
        <f>IF(OR(A7="",N(Portfolio!$G$70)=0),"",C7/Portfolio!$G$70)</f>
        <v/>
      </c>
      <c r="I7" s="11" t="inlineStr">
        <is>
          <t>Bank</t>
        </is>
      </c>
      <c r="J7" s="16">
        <f>IF(I7="","",SUMIFS(Portfolio!$G$10:$G$69,Portfolio!$A$10:$A$69,I7))</f>
        <v/>
      </c>
      <c r="K7" s="16">
        <f>IF(I7="","",SUMIFS(Portfolio!$D$10:$D$69,Portfolio!$A$10:$A$69,I7))</f>
        <v/>
      </c>
      <c r="L7" s="16">
        <f>IF(I7="","",IF(COUNTIFS(Portfolio!$A$10:$A$69,I7,Portfolio!$H$10:$H$69,"&lt;&gt;")=0,"",SUMIFS(Portfolio!$H$10:$H$69,Portfolio!$A$10:$A$69,I7)))</f>
        <v/>
      </c>
      <c r="M7" s="17">
        <f>IF(OR(I7="",N(Portfolio!$G$70)=0),"",J7/Portfolio!$G$70)</f>
        <v/>
      </c>
      <c r="AA7" s="21">
        <f>IF(AND(ISNUMBER(C7),N(C7)&gt;0),C7+ROW()/1E9,"")</f>
        <v/>
      </c>
      <c r="AB7" s="21">
        <f>IF(3&gt;$AF$7,"",_xlfn.AGGREGATE(14,6,$AA$5:$AA$38,3))</f>
        <v/>
      </c>
      <c r="AC7" s="21">
        <f>IF(AB7&lt;&gt;"",INDEX($A$5:$A$38,MATCH(AB7,$AA$5:$AA$38,0)),IF(AND(3=$AF$7+1,$AF$8&gt;0.005),"Other (under "&amp;TEXT($AF$5,"0%")&amp;" each)",""))</f>
        <v/>
      </c>
      <c r="AD7" s="21">
        <f>IF(AB7&lt;&gt;"",INDEX($C$5:$C$38,MATCH(AB7,$AA$5:$AA$38,0)),IF(AC7&lt;&gt;"",$AF$8,""))</f>
        <v/>
      </c>
      <c r="AE7" t="inlineStr">
        <is>
          <t>slices</t>
        </is>
      </c>
      <c r="AF7">
        <f>COUNTIF($AA$5:$AA$38,"&gt;="&amp;$AF$6)</f>
        <v/>
      </c>
    </row>
    <row r="8">
      <c r="A8" s="22">
        <f>IF(Prices!$A$11="","",Prices!$A$11)</f>
        <v/>
      </c>
      <c r="B8" s="23">
        <f>IF(A8="","",SUMIFS(Portfolio!$C$10:$C$69,Portfolio!$B$10:$B$69,A8))</f>
        <v/>
      </c>
      <c r="C8" s="16">
        <f>IF(A8="","",SUMIFS(Portfolio!$G$10:$G$69,Portfolio!$B$10:$B$69,A8))</f>
        <v/>
      </c>
      <c r="D8" s="16">
        <f>IF(A8="","",SUMIFS(Portfolio!$D$10:$D$69,Portfolio!$B$10:$B$69,A8))</f>
        <v/>
      </c>
      <c r="E8" s="16">
        <f>IF(A8="","",IF(COUNTIFS(Portfolio!$B$10:$B$69,A8,Portfolio!$H$10:$H$69,"&lt;&gt;")=0,"",SUMIFS(Portfolio!$H$10:$H$69,Portfolio!$B$10:$B$69,A8)))</f>
        <v/>
      </c>
      <c r="F8" s="17">
        <f>IF(OR(E8="",N(D8)=0),"",E8/SUMIFS(Portfolio!$D$10:$D$69,Portfolio!$B$10:$B$69,A8,Portfolio!$H$10:$H$69,"&lt;&gt;"))</f>
        <v/>
      </c>
      <c r="G8" s="17">
        <f>IF(OR(A8="",N(Portfolio!$G$70)=0),"",C8/Portfolio!$G$70)</f>
        <v/>
      </c>
      <c r="I8" s="11" t="inlineStr">
        <is>
          <t>Binance US</t>
        </is>
      </c>
      <c r="J8" s="16">
        <f>IF(I8="","",SUMIFS(Portfolio!$G$10:$G$69,Portfolio!$A$10:$A$69,I8))</f>
        <v/>
      </c>
      <c r="K8" s="16">
        <f>IF(I8="","",SUMIFS(Portfolio!$D$10:$D$69,Portfolio!$A$10:$A$69,I8))</f>
        <v/>
      </c>
      <c r="L8" s="16">
        <f>IF(I8="","",IF(COUNTIFS(Portfolio!$A$10:$A$69,I8,Portfolio!$H$10:$H$69,"&lt;&gt;")=0,"",SUMIFS(Portfolio!$H$10:$H$69,Portfolio!$A$10:$A$69,I8)))</f>
        <v/>
      </c>
      <c r="M8" s="17">
        <f>IF(OR(I8="",N(Portfolio!$G$70)=0),"",J8/Portfolio!$G$70)</f>
        <v/>
      </c>
      <c r="AA8" s="21">
        <f>IF(AND(ISNUMBER(C8),N(C8)&gt;0),C8+ROW()/1E9,"")</f>
        <v/>
      </c>
      <c r="AB8" s="21">
        <f>IF(4&gt;$AF$7,"",_xlfn.AGGREGATE(14,6,$AA$5:$AA$38,4))</f>
        <v/>
      </c>
      <c r="AC8" s="21">
        <f>IF(AB8&lt;&gt;"",INDEX($A$5:$A$38,MATCH(AB8,$AA$5:$AA$38,0)),IF(AND(4=$AF$7+1,$AF$8&gt;0.005),"Other (under "&amp;TEXT($AF$5,"0%")&amp;" each)",""))</f>
        <v/>
      </c>
      <c r="AD8" s="21">
        <f>IF(AB8&lt;&gt;"",INDEX($C$5:$C$38,MATCH(AB8,$AA$5:$AA$38,0)),IF(AC8&lt;&gt;"",$AF$8,""))</f>
        <v/>
      </c>
      <c r="AE8" t="inlineStr">
        <is>
          <t>other $</t>
        </is>
      </c>
      <c r="AF8">
        <f>N(Portfolio!$G$70)-SUMIF($AA$5:$AA$38,"&gt;="&amp;$AF$6,$C$5:$C$38)</f>
        <v/>
      </c>
    </row>
    <row r="9">
      <c r="A9" s="22">
        <f>IF(Prices!$A$12="","",Prices!$A$12)</f>
        <v/>
      </c>
      <c r="B9" s="23">
        <f>IF(A9="","",SUMIFS(Portfolio!$C$10:$C$69,Portfolio!$B$10:$B$69,A9))</f>
        <v/>
      </c>
      <c r="C9" s="16">
        <f>IF(A9="","",SUMIFS(Portfolio!$G$10:$G$69,Portfolio!$B$10:$B$69,A9))</f>
        <v/>
      </c>
      <c r="D9" s="16">
        <f>IF(A9="","",SUMIFS(Portfolio!$D$10:$D$69,Portfolio!$B$10:$B$69,A9))</f>
        <v/>
      </c>
      <c r="E9" s="16">
        <f>IF(A9="","",IF(COUNTIFS(Portfolio!$B$10:$B$69,A9,Portfolio!$H$10:$H$69,"&lt;&gt;")=0,"",SUMIFS(Portfolio!$H$10:$H$69,Portfolio!$B$10:$B$69,A9)))</f>
        <v/>
      </c>
      <c r="F9" s="17">
        <f>IF(OR(E9="",N(D9)=0),"",E9/SUMIFS(Portfolio!$D$10:$D$69,Portfolio!$B$10:$B$69,A9,Portfolio!$H$10:$H$69,"&lt;&gt;"))</f>
        <v/>
      </c>
      <c r="G9" s="17">
        <f>IF(OR(A9="",N(Portfolio!$G$70)=0),"",C9/Portfolio!$G$70)</f>
        <v/>
      </c>
      <c r="I9" s="11" t="inlineStr">
        <is>
          <t>Kraken</t>
        </is>
      </c>
      <c r="J9" s="16">
        <f>IF(I9="","",SUMIFS(Portfolio!$G$10:$G$69,Portfolio!$A$10:$A$69,I9))</f>
        <v/>
      </c>
      <c r="K9" s="16">
        <f>IF(I9="","",SUMIFS(Portfolio!$D$10:$D$69,Portfolio!$A$10:$A$69,I9))</f>
        <v/>
      </c>
      <c r="L9" s="16">
        <f>IF(I9="","",IF(COUNTIFS(Portfolio!$A$10:$A$69,I9,Portfolio!$H$10:$H$69,"&lt;&gt;")=0,"",SUMIFS(Portfolio!$H$10:$H$69,Portfolio!$A$10:$A$69,I9)))</f>
        <v/>
      </c>
      <c r="M9" s="17">
        <f>IF(OR(I9="",N(Portfolio!$G$70)=0),"",J9/Portfolio!$G$70)</f>
        <v/>
      </c>
      <c r="AA9" s="21">
        <f>IF(AND(ISNUMBER(C9),N(C9)&gt;0),C9+ROW()/1E9,"")</f>
        <v/>
      </c>
      <c r="AB9" s="21">
        <f>IF(5&gt;$AF$7,"",_xlfn.AGGREGATE(14,6,$AA$5:$AA$38,5))</f>
        <v/>
      </c>
      <c r="AC9" s="21">
        <f>IF(AB9&lt;&gt;"",INDEX($A$5:$A$38,MATCH(AB9,$AA$5:$AA$38,0)),IF(AND(5=$AF$7+1,$AF$8&gt;0.005),"Other (under "&amp;TEXT($AF$5,"0%")&amp;" each)",""))</f>
        <v/>
      </c>
      <c r="AD9" s="21">
        <f>IF(AB9&lt;&gt;"",INDEX($C$5:$C$38,MATCH(AB9,$AA$5:$AA$38,0)),IF(AC9&lt;&gt;"",$AF$8,""))</f>
        <v/>
      </c>
      <c r="AE9" t="inlineStr">
        <is>
          <t>rows</t>
        </is>
      </c>
      <c r="AF9">
        <f>MAX(1,$AF$7+IF($AF$8&gt;0.005,1,0))</f>
        <v/>
      </c>
    </row>
    <row r="10">
      <c r="A10" s="22">
        <f>IF(Prices!$A$13="","",Prices!$A$13)</f>
        <v/>
      </c>
      <c r="B10" s="23">
        <f>IF(A10="","",SUMIFS(Portfolio!$C$10:$C$69,Portfolio!$B$10:$B$69,A10))</f>
        <v/>
      </c>
      <c r="C10" s="16">
        <f>IF(A10="","",SUMIFS(Portfolio!$G$10:$G$69,Portfolio!$B$10:$B$69,A10))</f>
        <v/>
      </c>
      <c r="D10" s="16">
        <f>IF(A10="","",SUMIFS(Portfolio!$D$10:$D$69,Portfolio!$B$10:$B$69,A10))</f>
        <v/>
      </c>
      <c r="E10" s="16">
        <f>IF(A10="","",IF(COUNTIFS(Portfolio!$B$10:$B$69,A10,Portfolio!$H$10:$H$69,"&lt;&gt;")=0,"",SUMIFS(Portfolio!$H$10:$H$69,Portfolio!$B$10:$B$69,A10)))</f>
        <v/>
      </c>
      <c r="F10" s="17">
        <f>IF(OR(E10="",N(D10)=0),"",E10/SUMIFS(Portfolio!$D$10:$D$69,Portfolio!$B$10:$B$69,A10,Portfolio!$H$10:$H$69,"&lt;&gt;"))</f>
        <v/>
      </c>
      <c r="G10" s="17">
        <f>IF(OR(A10="",N(Portfolio!$G$70)=0),"",C10/Portfolio!$G$70)</f>
        <v/>
      </c>
      <c r="I10" s="11" t="n"/>
      <c r="J10" s="16">
        <f>IF(I10="","",SUMIFS(Portfolio!$G$10:$G$69,Portfolio!$A$10:$A$69,I10))</f>
        <v/>
      </c>
      <c r="K10" s="16">
        <f>IF(I10="","",SUMIFS(Portfolio!$D$10:$D$69,Portfolio!$A$10:$A$69,I10))</f>
        <v/>
      </c>
      <c r="L10" s="16">
        <f>IF(I10="","",IF(COUNTIFS(Portfolio!$A$10:$A$69,I10,Portfolio!$H$10:$H$69,"&lt;&gt;")=0,"",SUMIFS(Portfolio!$H$10:$H$69,Portfolio!$A$10:$A$69,I10)))</f>
        <v/>
      </c>
      <c r="M10" s="17">
        <f>IF(OR(I10="",N(Portfolio!$G$70)=0),"",J10/Portfolio!$G$70)</f>
        <v/>
      </c>
      <c r="AA10" s="21">
        <f>IF(AND(ISNUMBER(C10),N(C10)&gt;0),C10+ROW()/1E9,"")</f>
        <v/>
      </c>
      <c r="AB10" s="21">
        <f>IF(6&gt;$AF$7,"",_xlfn.AGGREGATE(14,6,$AA$5:$AA$38,6))</f>
        <v/>
      </c>
      <c r="AC10" s="21">
        <f>IF(AB10&lt;&gt;"",INDEX($A$5:$A$38,MATCH(AB10,$AA$5:$AA$38,0)),IF(AND(6=$AF$7+1,$AF$8&gt;0.005),"Other (under "&amp;TEXT($AF$5,"0%")&amp;" each)",""))</f>
        <v/>
      </c>
      <c r="AD10" s="21">
        <f>IF(AB10&lt;&gt;"",INDEX($C$5:$C$38,MATCH(AB10,$AA$5:$AA$38,0)),IF(AC10&lt;&gt;"",$AF$8,""))</f>
        <v/>
      </c>
    </row>
    <row r="11">
      <c r="A11" s="22">
        <f>IF(Prices!$A$14="","",Prices!$A$14)</f>
        <v/>
      </c>
      <c r="B11" s="23">
        <f>IF(A11="","",SUMIFS(Portfolio!$C$10:$C$69,Portfolio!$B$10:$B$69,A11))</f>
        <v/>
      </c>
      <c r="C11" s="16">
        <f>IF(A11="","",SUMIFS(Portfolio!$G$10:$G$69,Portfolio!$B$10:$B$69,A11))</f>
        <v/>
      </c>
      <c r="D11" s="16">
        <f>IF(A11="","",SUMIFS(Portfolio!$D$10:$D$69,Portfolio!$B$10:$B$69,A11))</f>
        <v/>
      </c>
      <c r="E11" s="16">
        <f>IF(A11="","",IF(COUNTIFS(Portfolio!$B$10:$B$69,A11,Portfolio!$H$10:$H$69,"&lt;&gt;")=0,"",SUMIFS(Portfolio!$H$10:$H$69,Portfolio!$B$10:$B$69,A11)))</f>
        <v/>
      </c>
      <c r="F11" s="17">
        <f>IF(OR(E11="",N(D11)=0),"",E11/SUMIFS(Portfolio!$D$10:$D$69,Portfolio!$B$10:$B$69,A11,Portfolio!$H$10:$H$69,"&lt;&gt;"))</f>
        <v/>
      </c>
      <c r="G11" s="17">
        <f>IF(OR(A11="",N(Portfolio!$G$70)=0),"",C11/Portfolio!$G$70)</f>
        <v/>
      </c>
      <c r="I11" s="11" t="n"/>
      <c r="J11" s="16">
        <f>IF(I11="","",SUMIFS(Portfolio!$G$10:$G$69,Portfolio!$A$10:$A$69,I11))</f>
        <v/>
      </c>
      <c r="K11" s="16">
        <f>IF(I11="","",SUMIFS(Portfolio!$D$10:$D$69,Portfolio!$A$10:$A$69,I11))</f>
        <v/>
      </c>
      <c r="L11" s="16">
        <f>IF(I11="","",IF(COUNTIFS(Portfolio!$A$10:$A$69,I11,Portfolio!$H$10:$H$69,"&lt;&gt;")=0,"",SUMIFS(Portfolio!$H$10:$H$69,Portfolio!$A$10:$A$69,I11)))</f>
        <v/>
      </c>
      <c r="M11" s="17">
        <f>IF(OR(I11="",N(Portfolio!$G$70)=0),"",J11/Portfolio!$G$70)</f>
        <v/>
      </c>
      <c r="AA11" s="21">
        <f>IF(AND(ISNUMBER(C11),N(C11)&gt;0),C11+ROW()/1E9,"")</f>
        <v/>
      </c>
      <c r="AB11" s="21">
        <f>IF(7&gt;$AF$7,"",_xlfn.AGGREGATE(14,6,$AA$5:$AA$38,7))</f>
        <v/>
      </c>
      <c r="AC11" s="21">
        <f>IF(AB11&lt;&gt;"",INDEX($A$5:$A$38,MATCH(AB11,$AA$5:$AA$38,0)),IF(AND(7=$AF$7+1,$AF$8&gt;0.005),"Other (under "&amp;TEXT($AF$5,"0%")&amp;" each)",""))</f>
        <v/>
      </c>
      <c r="AD11" s="21">
        <f>IF(AB11&lt;&gt;"",INDEX($C$5:$C$38,MATCH(AB11,$AA$5:$AA$38,0)),IF(AC11&lt;&gt;"",$AF$8,""))</f>
        <v/>
      </c>
    </row>
    <row r="12">
      <c r="A12" s="22">
        <f>IF(Prices!$A$15="","",Prices!$A$15)</f>
        <v/>
      </c>
      <c r="B12" s="23">
        <f>IF(A12="","",SUMIFS(Portfolio!$C$10:$C$69,Portfolio!$B$10:$B$69,A12))</f>
        <v/>
      </c>
      <c r="C12" s="16">
        <f>IF(A12="","",SUMIFS(Portfolio!$G$10:$G$69,Portfolio!$B$10:$B$69,A12))</f>
        <v/>
      </c>
      <c r="D12" s="16">
        <f>IF(A12="","",SUMIFS(Portfolio!$D$10:$D$69,Portfolio!$B$10:$B$69,A12))</f>
        <v/>
      </c>
      <c r="E12" s="16">
        <f>IF(A12="","",IF(COUNTIFS(Portfolio!$B$10:$B$69,A12,Portfolio!$H$10:$H$69,"&lt;&gt;")=0,"",SUMIFS(Portfolio!$H$10:$H$69,Portfolio!$B$10:$B$69,A12)))</f>
        <v/>
      </c>
      <c r="F12" s="17">
        <f>IF(OR(E12="",N(D12)=0),"",E12/SUMIFS(Portfolio!$D$10:$D$69,Portfolio!$B$10:$B$69,A12,Portfolio!$H$10:$H$69,"&lt;&gt;"))</f>
        <v/>
      </c>
      <c r="G12" s="17">
        <f>IF(OR(A12="",N(Portfolio!$G$70)=0),"",C12/Portfolio!$G$70)</f>
        <v/>
      </c>
      <c r="I12" s="11" t="n"/>
      <c r="J12" s="16">
        <f>IF(I12="","",SUMIFS(Portfolio!$G$10:$G$69,Portfolio!$A$10:$A$69,I12))</f>
        <v/>
      </c>
      <c r="K12" s="16">
        <f>IF(I12="","",SUMIFS(Portfolio!$D$10:$D$69,Portfolio!$A$10:$A$69,I12))</f>
        <v/>
      </c>
      <c r="L12" s="16">
        <f>IF(I12="","",IF(COUNTIFS(Portfolio!$A$10:$A$69,I12,Portfolio!$H$10:$H$69,"&lt;&gt;")=0,"",SUMIFS(Portfolio!$H$10:$H$69,Portfolio!$A$10:$A$69,I12)))</f>
        <v/>
      </c>
      <c r="M12" s="17">
        <f>IF(OR(I12="",N(Portfolio!$G$70)=0),"",J12/Portfolio!$G$70)</f>
        <v/>
      </c>
      <c r="AA12" s="21">
        <f>IF(AND(ISNUMBER(C12),N(C12)&gt;0),C12+ROW()/1E9,"")</f>
        <v/>
      </c>
      <c r="AB12" s="21">
        <f>IF(8&gt;$AF$7,"",_xlfn.AGGREGATE(14,6,$AA$5:$AA$38,8))</f>
        <v/>
      </c>
      <c r="AC12" s="21">
        <f>IF(AB12&lt;&gt;"",INDEX($A$5:$A$38,MATCH(AB12,$AA$5:$AA$38,0)),IF(AND(8=$AF$7+1,$AF$8&gt;0.005),"Other (under "&amp;TEXT($AF$5,"0%")&amp;" each)",""))</f>
        <v/>
      </c>
      <c r="AD12" s="21">
        <f>IF(AB12&lt;&gt;"",INDEX($C$5:$C$38,MATCH(AB12,$AA$5:$AA$38,0)),IF(AC12&lt;&gt;"",$AF$8,""))</f>
        <v/>
      </c>
    </row>
    <row r="13">
      <c r="A13" s="22">
        <f>IF(Prices!$A$16="","",Prices!$A$16)</f>
        <v/>
      </c>
      <c r="B13" s="23">
        <f>IF(A13="","",SUMIFS(Portfolio!$C$10:$C$69,Portfolio!$B$10:$B$69,A13))</f>
        <v/>
      </c>
      <c r="C13" s="16">
        <f>IF(A13="","",SUMIFS(Portfolio!$G$10:$G$69,Portfolio!$B$10:$B$69,A13))</f>
        <v/>
      </c>
      <c r="D13" s="16">
        <f>IF(A13="","",SUMIFS(Portfolio!$D$10:$D$69,Portfolio!$B$10:$B$69,A13))</f>
        <v/>
      </c>
      <c r="E13" s="16">
        <f>IF(A13="","",IF(COUNTIFS(Portfolio!$B$10:$B$69,A13,Portfolio!$H$10:$H$69,"&lt;&gt;")=0,"",SUMIFS(Portfolio!$H$10:$H$69,Portfolio!$B$10:$B$69,A13)))</f>
        <v/>
      </c>
      <c r="F13" s="17">
        <f>IF(OR(E13="",N(D13)=0),"",E13/SUMIFS(Portfolio!$D$10:$D$69,Portfolio!$B$10:$B$69,A13,Portfolio!$H$10:$H$69,"&lt;&gt;"))</f>
        <v/>
      </c>
      <c r="G13" s="17">
        <f>IF(OR(A13="",N(Portfolio!$G$70)=0),"",C13/Portfolio!$G$70)</f>
        <v/>
      </c>
      <c r="I13" s="11" t="n"/>
      <c r="J13" s="16">
        <f>IF(I13="","",SUMIFS(Portfolio!$G$10:$G$69,Portfolio!$A$10:$A$69,I13))</f>
        <v/>
      </c>
      <c r="K13" s="16">
        <f>IF(I13="","",SUMIFS(Portfolio!$D$10:$D$69,Portfolio!$A$10:$A$69,I13))</f>
        <v/>
      </c>
      <c r="L13" s="16">
        <f>IF(I13="","",IF(COUNTIFS(Portfolio!$A$10:$A$69,I13,Portfolio!$H$10:$H$69,"&lt;&gt;")=0,"",SUMIFS(Portfolio!$H$10:$H$69,Portfolio!$A$10:$A$69,I13)))</f>
        <v/>
      </c>
      <c r="M13" s="17">
        <f>IF(OR(I13="",N(Portfolio!$G$70)=0),"",J13/Portfolio!$G$70)</f>
        <v/>
      </c>
      <c r="AA13" s="21">
        <f>IF(AND(ISNUMBER(C13),N(C13)&gt;0),C13+ROW()/1E9,"")</f>
        <v/>
      </c>
      <c r="AB13" s="21">
        <f>IF(9&gt;$AF$7,"",_xlfn.AGGREGATE(14,6,$AA$5:$AA$38,9))</f>
        <v/>
      </c>
      <c r="AC13" s="21">
        <f>IF(AB13&lt;&gt;"",INDEX($A$5:$A$38,MATCH(AB13,$AA$5:$AA$38,0)),IF(AND(9=$AF$7+1,$AF$8&gt;0.005),"Other (under "&amp;TEXT($AF$5,"0%")&amp;" each)",""))</f>
        <v/>
      </c>
      <c r="AD13" s="21">
        <f>IF(AB13&lt;&gt;"",INDEX($C$5:$C$38,MATCH(AB13,$AA$5:$AA$38,0)),IF(AC13&lt;&gt;"",$AF$8,""))</f>
        <v/>
      </c>
    </row>
    <row r="14">
      <c r="A14" s="22">
        <f>IF(Prices!$A$17="","",Prices!$A$17)</f>
        <v/>
      </c>
      <c r="B14" s="23">
        <f>IF(A14="","",SUMIFS(Portfolio!$C$10:$C$69,Portfolio!$B$10:$B$69,A14))</f>
        <v/>
      </c>
      <c r="C14" s="16">
        <f>IF(A14="","",SUMIFS(Portfolio!$G$10:$G$69,Portfolio!$B$10:$B$69,A14))</f>
        <v/>
      </c>
      <c r="D14" s="16">
        <f>IF(A14="","",SUMIFS(Portfolio!$D$10:$D$69,Portfolio!$B$10:$B$69,A14))</f>
        <v/>
      </c>
      <c r="E14" s="16">
        <f>IF(A14="","",IF(COUNTIFS(Portfolio!$B$10:$B$69,A14,Portfolio!$H$10:$H$69,"&lt;&gt;")=0,"",SUMIFS(Portfolio!$H$10:$H$69,Portfolio!$B$10:$B$69,A14)))</f>
        <v/>
      </c>
      <c r="F14" s="17">
        <f>IF(OR(E14="",N(D14)=0),"",E14/SUMIFS(Portfolio!$D$10:$D$69,Portfolio!$B$10:$B$69,A14,Portfolio!$H$10:$H$69,"&lt;&gt;"))</f>
        <v/>
      </c>
      <c r="G14" s="17">
        <f>IF(OR(A14="",N(Portfolio!$G$70)=0),"",C14/Portfolio!$G$70)</f>
        <v/>
      </c>
      <c r="I14" s="11" t="n"/>
      <c r="J14" s="16">
        <f>IF(I14="","",SUMIFS(Portfolio!$G$10:$G$69,Portfolio!$A$10:$A$69,I14))</f>
        <v/>
      </c>
      <c r="K14" s="16">
        <f>IF(I14="","",SUMIFS(Portfolio!$D$10:$D$69,Portfolio!$A$10:$A$69,I14))</f>
        <v/>
      </c>
      <c r="L14" s="16">
        <f>IF(I14="","",IF(COUNTIFS(Portfolio!$A$10:$A$69,I14,Portfolio!$H$10:$H$69,"&lt;&gt;")=0,"",SUMIFS(Portfolio!$H$10:$H$69,Portfolio!$A$10:$A$69,I14)))</f>
        <v/>
      </c>
      <c r="M14" s="17">
        <f>IF(OR(I14="",N(Portfolio!$G$70)=0),"",J14/Portfolio!$G$70)</f>
        <v/>
      </c>
      <c r="AA14" s="21">
        <f>IF(AND(ISNUMBER(C14),N(C14)&gt;0),C14+ROW()/1E9,"")</f>
        <v/>
      </c>
      <c r="AB14" s="21">
        <f>IF(10&gt;$AF$7,"",_xlfn.AGGREGATE(14,6,$AA$5:$AA$38,10))</f>
        <v/>
      </c>
      <c r="AC14" s="21">
        <f>IF(AB14&lt;&gt;"",INDEX($A$5:$A$38,MATCH(AB14,$AA$5:$AA$38,0)),IF(AND(10=$AF$7+1,$AF$8&gt;0.005),"Other (under "&amp;TEXT($AF$5,"0%")&amp;" each)",""))</f>
        <v/>
      </c>
      <c r="AD14" s="21">
        <f>IF(AB14&lt;&gt;"",INDEX($C$5:$C$38,MATCH(AB14,$AA$5:$AA$38,0)),IF(AC14&lt;&gt;"",$AF$8,""))</f>
        <v/>
      </c>
    </row>
    <row r="15">
      <c r="A15" s="22">
        <f>IF(Prices!$A$18="","",Prices!$A$18)</f>
        <v/>
      </c>
      <c r="B15" s="23">
        <f>IF(A15="","",SUMIFS(Portfolio!$C$10:$C$69,Portfolio!$B$10:$B$69,A15))</f>
        <v/>
      </c>
      <c r="C15" s="16">
        <f>IF(A15="","",SUMIFS(Portfolio!$G$10:$G$69,Portfolio!$B$10:$B$69,A15))</f>
        <v/>
      </c>
      <c r="D15" s="16">
        <f>IF(A15="","",SUMIFS(Portfolio!$D$10:$D$69,Portfolio!$B$10:$B$69,A15))</f>
        <v/>
      </c>
      <c r="E15" s="16">
        <f>IF(A15="","",IF(COUNTIFS(Portfolio!$B$10:$B$69,A15,Portfolio!$H$10:$H$69,"&lt;&gt;")=0,"",SUMIFS(Portfolio!$H$10:$H$69,Portfolio!$B$10:$B$69,A15)))</f>
        <v/>
      </c>
      <c r="F15" s="17">
        <f>IF(OR(E15="",N(D15)=0),"",E15/SUMIFS(Portfolio!$D$10:$D$69,Portfolio!$B$10:$B$69,A15,Portfolio!$H$10:$H$69,"&lt;&gt;"))</f>
        <v/>
      </c>
      <c r="G15" s="17">
        <f>IF(OR(A15="",N(Portfolio!$G$70)=0),"",C15/Portfolio!$G$70)</f>
        <v/>
      </c>
      <c r="I15" s="11" t="n"/>
      <c r="J15" s="16">
        <f>IF(I15="","",SUMIFS(Portfolio!$G$10:$G$69,Portfolio!$A$10:$A$69,I15))</f>
        <v/>
      </c>
      <c r="K15" s="16">
        <f>IF(I15="","",SUMIFS(Portfolio!$D$10:$D$69,Portfolio!$A$10:$A$69,I15))</f>
        <v/>
      </c>
      <c r="L15" s="16">
        <f>IF(I15="","",IF(COUNTIFS(Portfolio!$A$10:$A$69,I15,Portfolio!$H$10:$H$69,"&lt;&gt;")=0,"",SUMIFS(Portfolio!$H$10:$H$69,Portfolio!$A$10:$A$69,I15)))</f>
        <v/>
      </c>
      <c r="M15" s="17">
        <f>IF(OR(I15="",N(Portfolio!$G$70)=0),"",J15/Portfolio!$G$70)</f>
        <v/>
      </c>
      <c r="AA15" s="21">
        <f>IF(AND(ISNUMBER(C15),N(C15)&gt;0),C15+ROW()/1E9,"")</f>
        <v/>
      </c>
      <c r="AB15" s="21">
        <f>IF(11&gt;$AF$7,"",_xlfn.AGGREGATE(14,6,$AA$5:$AA$38,11))</f>
        <v/>
      </c>
      <c r="AC15" s="21">
        <f>IF(AB15&lt;&gt;"",INDEX($A$5:$A$38,MATCH(AB15,$AA$5:$AA$38,0)),IF(AND(11=$AF$7+1,$AF$8&gt;0.005),"Other (under "&amp;TEXT($AF$5,"0%")&amp;" each)",""))</f>
        <v/>
      </c>
      <c r="AD15" s="21">
        <f>IF(AB15&lt;&gt;"",INDEX($C$5:$C$38,MATCH(AB15,$AA$5:$AA$38,0)),IF(AC15&lt;&gt;"",$AF$8,""))</f>
        <v/>
      </c>
    </row>
    <row r="16">
      <c r="A16" s="22">
        <f>IF(Prices!$A$19="","",Prices!$A$19)</f>
        <v/>
      </c>
      <c r="B16" s="23">
        <f>IF(A16="","",SUMIFS(Portfolio!$C$10:$C$69,Portfolio!$B$10:$B$69,A16))</f>
        <v/>
      </c>
      <c r="C16" s="16">
        <f>IF(A16="","",SUMIFS(Portfolio!$G$10:$G$69,Portfolio!$B$10:$B$69,A16))</f>
        <v/>
      </c>
      <c r="D16" s="16">
        <f>IF(A16="","",SUMIFS(Portfolio!$D$10:$D$69,Portfolio!$B$10:$B$69,A16))</f>
        <v/>
      </c>
      <c r="E16" s="16">
        <f>IF(A16="","",IF(COUNTIFS(Portfolio!$B$10:$B$69,A16,Portfolio!$H$10:$H$69,"&lt;&gt;")=0,"",SUMIFS(Portfolio!$H$10:$H$69,Portfolio!$B$10:$B$69,A16)))</f>
        <v/>
      </c>
      <c r="F16" s="17">
        <f>IF(OR(E16="",N(D16)=0),"",E16/SUMIFS(Portfolio!$D$10:$D$69,Portfolio!$B$10:$B$69,A16,Portfolio!$H$10:$H$69,"&lt;&gt;"))</f>
        <v/>
      </c>
      <c r="G16" s="17">
        <f>IF(OR(A16="",N(Portfolio!$G$70)=0),"",C16/Portfolio!$G$70)</f>
        <v/>
      </c>
      <c r="I16" s="11" t="n"/>
      <c r="J16" s="16">
        <f>IF(I16="","",SUMIFS(Portfolio!$G$10:$G$69,Portfolio!$A$10:$A$69,I16))</f>
        <v/>
      </c>
      <c r="K16" s="16">
        <f>IF(I16="","",SUMIFS(Portfolio!$D$10:$D$69,Portfolio!$A$10:$A$69,I16))</f>
        <v/>
      </c>
      <c r="L16" s="16">
        <f>IF(I16="","",IF(COUNTIFS(Portfolio!$A$10:$A$69,I16,Portfolio!$H$10:$H$69,"&lt;&gt;")=0,"",SUMIFS(Portfolio!$H$10:$H$69,Portfolio!$A$10:$A$69,I16)))</f>
        <v/>
      </c>
      <c r="M16" s="17">
        <f>IF(OR(I16="",N(Portfolio!$G$70)=0),"",J16/Portfolio!$G$70)</f>
        <v/>
      </c>
      <c r="AA16" s="21">
        <f>IF(AND(ISNUMBER(C16),N(C16)&gt;0),C16+ROW()/1E9,"")</f>
        <v/>
      </c>
      <c r="AB16" s="21">
        <f>IF(12&gt;$AF$7,"",_xlfn.AGGREGATE(14,6,$AA$5:$AA$38,12))</f>
        <v/>
      </c>
      <c r="AC16" s="21">
        <f>IF(AB16&lt;&gt;"",INDEX($A$5:$A$38,MATCH(AB16,$AA$5:$AA$38,0)),IF(AND(12=$AF$7+1,$AF$8&gt;0.005),"Other (under "&amp;TEXT($AF$5,"0%")&amp;" each)",""))</f>
        <v/>
      </c>
      <c r="AD16" s="21">
        <f>IF(AB16&lt;&gt;"",INDEX($C$5:$C$38,MATCH(AB16,$AA$5:$AA$38,0)),IF(AC16&lt;&gt;"",$AF$8,""))</f>
        <v/>
      </c>
    </row>
    <row r="17">
      <c r="A17" s="22">
        <f>IF(Prices!$A$20="","",Prices!$A$20)</f>
        <v/>
      </c>
      <c r="B17" s="23">
        <f>IF(A17="","",SUMIFS(Portfolio!$C$10:$C$69,Portfolio!$B$10:$B$69,A17))</f>
        <v/>
      </c>
      <c r="C17" s="16">
        <f>IF(A17="","",SUMIFS(Portfolio!$G$10:$G$69,Portfolio!$B$10:$B$69,A17))</f>
        <v/>
      </c>
      <c r="D17" s="16">
        <f>IF(A17="","",SUMIFS(Portfolio!$D$10:$D$69,Portfolio!$B$10:$B$69,A17))</f>
        <v/>
      </c>
      <c r="E17" s="16">
        <f>IF(A17="","",IF(COUNTIFS(Portfolio!$B$10:$B$69,A17,Portfolio!$H$10:$H$69,"&lt;&gt;")=0,"",SUMIFS(Portfolio!$H$10:$H$69,Portfolio!$B$10:$B$69,A17)))</f>
        <v/>
      </c>
      <c r="F17" s="17">
        <f>IF(OR(E17="",N(D17)=0),"",E17/SUMIFS(Portfolio!$D$10:$D$69,Portfolio!$B$10:$B$69,A17,Portfolio!$H$10:$H$69,"&lt;&gt;"))</f>
        <v/>
      </c>
      <c r="G17" s="17">
        <f>IF(OR(A17="",N(Portfolio!$G$70)=0),"",C17/Portfolio!$G$70)</f>
        <v/>
      </c>
      <c r="AA17" s="21">
        <f>IF(AND(ISNUMBER(C17),N(C17)&gt;0),C17+ROW()/1E9,"")</f>
        <v/>
      </c>
      <c r="AB17" s="21">
        <f>IF(13&gt;$AF$7,"",_xlfn.AGGREGATE(14,6,$AA$5:$AA$38,13))</f>
        <v/>
      </c>
      <c r="AC17" s="21">
        <f>IF(AB17&lt;&gt;"",INDEX($A$5:$A$38,MATCH(AB17,$AA$5:$AA$38,0)),IF(AND(13=$AF$7+1,$AF$8&gt;0.005),"Other (under "&amp;TEXT($AF$5,"0%")&amp;" each)",""))</f>
        <v/>
      </c>
      <c r="AD17" s="21">
        <f>IF(AB17&lt;&gt;"",INDEX($C$5:$C$38,MATCH(AB17,$AA$5:$AA$38,0)),IF(AC17&lt;&gt;"",$AF$8,""))</f>
        <v/>
      </c>
    </row>
    <row r="18">
      <c r="A18" s="22">
        <f>IF(Prices!$A$21="","",Prices!$A$21)</f>
        <v/>
      </c>
      <c r="B18" s="23">
        <f>IF(A18="","",SUMIFS(Portfolio!$C$10:$C$69,Portfolio!$B$10:$B$69,A18))</f>
        <v/>
      </c>
      <c r="C18" s="16">
        <f>IF(A18="","",SUMIFS(Portfolio!$G$10:$G$69,Portfolio!$B$10:$B$69,A18))</f>
        <v/>
      </c>
      <c r="D18" s="16">
        <f>IF(A18="","",SUMIFS(Portfolio!$D$10:$D$69,Portfolio!$B$10:$B$69,A18))</f>
        <v/>
      </c>
      <c r="E18" s="16">
        <f>IF(A18="","",IF(COUNTIFS(Portfolio!$B$10:$B$69,A18,Portfolio!$H$10:$H$69,"&lt;&gt;")=0,"",SUMIFS(Portfolio!$H$10:$H$69,Portfolio!$B$10:$B$69,A18)))</f>
        <v/>
      </c>
      <c r="F18" s="17">
        <f>IF(OR(E18="",N(D18)=0),"",E18/SUMIFS(Portfolio!$D$10:$D$69,Portfolio!$B$10:$B$69,A18,Portfolio!$H$10:$H$69,"&lt;&gt;"))</f>
        <v/>
      </c>
      <c r="G18" s="17">
        <f>IF(OR(A18="",N(Portfolio!$G$70)=0),"",C18/Portfolio!$G$70)</f>
        <v/>
      </c>
      <c r="I18" s="24" t="inlineStr">
        <is>
          <t>Value at locations not listed above</t>
        </is>
      </c>
      <c r="M18" s="16">
        <f>Portfolio!$G$70-SUM(J5:J16)</f>
        <v/>
      </c>
      <c r="AA18" s="21">
        <f>IF(AND(ISNUMBER(C18),N(C18)&gt;0),C18+ROW()/1E9,"")</f>
        <v/>
      </c>
      <c r="AB18" s="21">
        <f>IF(14&gt;$AF$7,"",_xlfn.AGGREGATE(14,6,$AA$5:$AA$38,14))</f>
        <v/>
      </c>
      <c r="AC18" s="21">
        <f>IF(AB18&lt;&gt;"",INDEX($A$5:$A$38,MATCH(AB18,$AA$5:$AA$38,0)),IF(AND(14=$AF$7+1,$AF$8&gt;0.005),"Other (under "&amp;TEXT($AF$5,"0%")&amp;" each)",""))</f>
        <v/>
      </c>
      <c r="AD18" s="21">
        <f>IF(AB18&lt;&gt;"",INDEX($C$5:$C$38,MATCH(AB18,$AA$5:$AA$38,0)),IF(AC18&lt;&gt;"",$AF$8,""))</f>
        <v/>
      </c>
    </row>
    <row r="19">
      <c r="A19" s="22">
        <f>IF(Prices!$A$22="","",Prices!$A$22)</f>
        <v/>
      </c>
      <c r="B19" s="23">
        <f>IF(A19="","",SUMIFS(Portfolio!$C$10:$C$69,Portfolio!$B$10:$B$69,A19))</f>
        <v/>
      </c>
      <c r="C19" s="16">
        <f>IF(A19="","",SUMIFS(Portfolio!$G$10:$G$69,Portfolio!$B$10:$B$69,A19))</f>
        <v/>
      </c>
      <c r="D19" s="16">
        <f>IF(A19="","",SUMIFS(Portfolio!$D$10:$D$69,Portfolio!$B$10:$B$69,A19))</f>
        <v/>
      </c>
      <c r="E19" s="16">
        <f>IF(A19="","",IF(COUNTIFS(Portfolio!$B$10:$B$69,A19,Portfolio!$H$10:$H$69,"&lt;&gt;")=0,"",SUMIFS(Portfolio!$H$10:$H$69,Portfolio!$B$10:$B$69,A19)))</f>
        <v/>
      </c>
      <c r="F19" s="17">
        <f>IF(OR(E19="",N(D19)=0),"",E19/SUMIFS(Portfolio!$D$10:$D$69,Portfolio!$B$10:$B$69,A19,Portfolio!$H$10:$H$69,"&lt;&gt;"))</f>
        <v/>
      </c>
      <c r="G19" s="17">
        <f>IF(OR(A19="",N(Portfolio!$G$70)=0),"",C19/Portfolio!$G$70)</f>
        <v/>
      </c>
      <c r="I19" s="2" t="inlineStr">
        <is>
          <t>Type your exchanges and wallets in the yellow cells, spelled the same as the Location column on Portfolio. If the amount above is not $0, a location is missing.</t>
        </is>
      </c>
      <c r="AA19" s="21">
        <f>IF(AND(ISNUMBER(C19),N(C19)&gt;0),C19+ROW()/1E9,"")</f>
        <v/>
      </c>
      <c r="AB19" s="21">
        <f>IF(15&gt;$AF$7,"",_xlfn.AGGREGATE(14,6,$AA$5:$AA$38,15))</f>
        <v/>
      </c>
      <c r="AC19" s="21">
        <f>IF(AB19&lt;&gt;"",INDEX($A$5:$A$38,MATCH(AB19,$AA$5:$AA$38,0)),IF(AND(15=$AF$7+1,$AF$8&gt;0.005),"Other (under "&amp;TEXT($AF$5,"0%")&amp;" each)",""))</f>
        <v/>
      </c>
      <c r="AD19" s="21">
        <f>IF(AB19&lt;&gt;"",INDEX($C$5:$C$38,MATCH(AB19,$AA$5:$AA$38,0)),IF(AC19&lt;&gt;"",$AF$8,""))</f>
        <v/>
      </c>
    </row>
    <row r="20">
      <c r="A20" s="22">
        <f>IF(Prices!$A$23="","",Prices!$A$23)</f>
        <v/>
      </c>
      <c r="B20" s="23">
        <f>IF(A20="","",SUMIFS(Portfolio!$C$10:$C$69,Portfolio!$B$10:$B$69,A20))</f>
        <v/>
      </c>
      <c r="C20" s="16">
        <f>IF(A20="","",SUMIFS(Portfolio!$G$10:$G$69,Portfolio!$B$10:$B$69,A20))</f>
        <v/>
      </c>
      <c r="D20" s="16">
        <f>IF(A20="","",SUMIFS(Portfolio!$D$10:$D$69,Portfolio!$B$10:$B$69,A20))</f>
        <v/>
      </c>
      <c r="E20" s="16">
        <f>IF(A20="","",IF(COUNTIFS(Portfolio!$B$10:$B$69,A20,Portfolio!$H$10:$H$69,"&lt;&gt;")=0,"",SUMIFS(Portfolio!$H$10:$H$69,Portfolio!$B$10:$B$69,A20)))</f>
        <v/>
      </c>
      <c r="F20" s="17">
        <f>IF(OR(E20="",N(D20)=0),"",E20/SUMIFS(Portfolio!$D$10:$D$69,Portfolio!$B$10:$B$69,A20,Portfolio!$H$10:$H$69,"&lt;&gt;"))</f>
        <v/>
      </c>
      <c r="G20" s="17">
        <f>IF(OR(A20="",N(Portfolio!$G$70)=0),"",C20/Portfolio!$G$70)</f>
        <v/>
      </c>
      <c r="AA20" s="21">
        <f>IF(AND(ISNUMBER(C20),N(C20)&gt;0),C20+ROW()/1E9,"")</f>
        <v/>
      </c>
      <c r="AB20" s="21">
        <f>IF(16&gt;$AF$7,"",_xlfn.AGGREGATE(14,6,$AA$5:$AA$38,16))</f>
        <v/>
      </c>
      <c r="AC20" s="21">
        <f>IF(AB20&lt;&gt;"",INDEX($A$5:$A$38,MATCH(AB20,$AA$5:$AA$38,0)),IF(AND(16=$AF$7+1,$AF$8&gt;0.005),"Other (under "&amp;TEXT($AF$5,"0%")&amp;" each)",""))</f>
        <v/>
      </c>
      <c r="AD20" s="21">
        <f>IF(AB20&lt;&gt;"",INDEX($C$5:$C$38,MATCH(AB20,$AA$5:$AA$38,0)),IF(AC20&lt;&gt;"",$AF$8,""))</f>
        <v/>
      </c>
    </row>
    <row r="21">
      <c r="A21" s="22">
        <f>IF(Prices!$A$24="","",Prices!$A$24)</f>
        <v/>
      </c>
      <c r="B21" s="23">
        <f>IF(A21="","",SUMIFS(Portfolio!$C$10:$C$69,Portfolio!$B$10:$B$69,A21))</f>
        <v/>
      </c>
      <c r="C21" s="16">
        <f>IF(A21="","",SUMIFS(Portfolio!$G$10:$G$69,Portfolio!$B$10:$B$69,A21))</f>
        <v/>
      </c>
      <c r="D21" s="16">
        <f>IF(A21="","",SUMIFS(Portfolio!$D$10:$D$69,Portfolio!$B$10:$B$69,A21))</f>
        <v/>
      </c>
      <c r="E21" s="16">
        <f>IF(A21="","",IF(COUNTIFS(Portfolio!$B$10:$B$69,A21,Portfolio!$H$10:$H$69,"&lt;&gt;")=0,"",SUMIFS(Portfolio!$H$10:$H$69,Portfolio!$B$10:$B$69,A21)))</f>
        <v/>
      </c>
      <c r="F21" s="17">
        <f>IF(OR(E21="",N(D21)=0),"",E21/SUMIFS(Portfolio!$D$10:$D$69,Portfolio!$B$10:$B$69,A21,Portfolio!$H$10:$H$69,"&lt;&gt;"))</f>
        <v/>
      </c>
      <c r="G21" s="17">
        <f>IF(OR(A21="",N(Portfolio!$G$70)=0),"",C21/Portfolio!$G$70)</f>
        <v/>
      </c>
      <c r="AA21" s="21">
        <f>IF(AND(ISNUMBER(C21),N(C21)&gt;0),C21+ROW()/1E9,"")</f>
        <v/>
      </c>
      <c r="AB21" s="21">
        <f>IF(17&gt;$AF$7,"",_xlfn.AGGREGATE(14,6,$AA$5:$AA$38,17))</f>
        <v/>
      </c>
      <c r="AC21" s="21">
        <f>IF(AB21&lt;&gt;"",INDEX($A$5:$A$38,MATCH(AB21,$AA$5:$AA$38,0)),IF(AND(17=$AF$7+1,$AF$8&gt;0.005),"Other (under "&amp;TEXT($AF$5,"0%")&amp;" each)",""))</f>
        <v/>
      </c>
      <c r="AD21" s="21">
        <f>IF(AB21&lt;&gt;"",INDEX($C$5:$C$38,MATCH(AB21,$AA$5:$AA$38,0)),IF(AC21&lt;&gt;"",$AF$8,""))</f>
        <v/>
      </c>
    </row>
    <row r="22">
      <c r="A22" s="22">
        <f>IF(Prices!$A$25="","",Prices!$A$25)</f>
        <v/>
      </c>
      <c r="B22" s="23">
        <f>IF(A22="","",SUMIFS(Portfolio!$C$10:$C$69,Portfolio!$B$10:$B$69,A22))</f>
        <v/>
      </c>
      <c r="C22" s="16">
        <f>IF(A22="","",SUMIFS(Portfolio!$G$10:$G$69,Portfolio!$B$10:$B$69,A22))</f>
        <v/>
      </c>
      <c r="D22" s="16">
        <f>IF(A22="","",SUMIFS(Portfolio!$D$10:$D$69,Portfolio!$B$10:$B$69,A22))</f>
        <v/>
      </c>
      <c r="E22" s="16">
        <f>IF(A22="","",IF(COUNTIFS(Portfolio!$B$10:$B$69,A22,Portfolio!$H$10:$H$69,"&lt;&gt;")=0,"",SUMIFS(Portfolio!$H$10:$H$69,Portfolio!$B$10:$B$69,A22)))</f>
        <v/>
      </c>
      <c r="F22" s="17">
        <f>IF(OR(E22="",N(D22)=0),"",E22/SUMIFS(Portfolio!$D$10:$D$69,Portfolio!$B$10:$B$69,A22,Portfolio!$H$10:$H$69,"&lt;&gt;"))</f>
        <v/>
      </c>
      <c r="G22" s="17">
        <f>IF(OR(A22="",N(Portfolio!$G$70)=0),"",C22/Portfolio!$G$70)</f>
        <v/>
      </c>
      <c r="I22" s="10" t="inlineStr">
        <is>
          <t xml:space="preserve">Rating tier</t>
        </is>
      </c>
      <c r="J22" s="10" t="inlineStr">
        <is>
          <t xml:space="preserve">Value ($)</t>
        </is>
      </c>
      <c r="K22" s="10" t="inlineStr">
        <is>
          <t xml:space="preserve">Allocation</t>
        </is>
      </c>
      <c r="AA22" s="21">
        <f>IF(AND(ISNUMBER(C22),N(C22)&gt;0),C22+ROW()/1E9,"")</f>
        <v/>
      </c>
      <c r="AB22" s="21">
        <f>IF(18&gt;$AF$7,"",_xlfn.AGGREGATE(14,6,$AA$5:$AA$38,18))</f>
        <v/>
      </c>
      <c r="AC22" s="21">
        <f>IF(AB22&lt;&gt;"",INDEX($A$5:$A$38,MATCH(AB22,$AA$5:$AA$38,0)),IF(AND(18=$AF$7+1,$AF$8&gt;0.005),"Other (under "&amp;TEXT($AF$5,"0%")&amp;" each)",""))</f>
        <v/>
      </c>
      <c r="AD22" s="21">
        <f>IF(AB22&lt;&gt;"",INDEX($C$5:$C$38,MATCH(AB22,$AA$5:$AA$38,0)),IF(AC22&lt;&gt;"",$AF$8,""))</f>
        <v/>
      </c>
    </row>
    <row r="23">
      <c r="A23" s="22">
        <f>IF(Prices!$A$26="","",Prices!$A$26)</f>
        <v/>
      </c>
      <c r="B23" s="23">
        <f>IF(A23="","",SUMIFS(Portfolio!$C$10:$C$69,Portfolio!$B$10:$B$69,A23))</f>
        <v/>
      </c>
      <c r="C23" s="16">
        <f>IF(A23="","",SUMIFS(Portfolio!$G$10:$G$69,Portfolio!$B$10:$B$69,A23))</f>
        <v/>
      </c>
      <c r="D23" s="16">
        <f>IF(A23="","",SUMIFS(Portfolio!$D$10:$D$69,Portfolio!$B$10:$B$69,A23))</f>
        <v/>
      </c>
      <c r="E23" s="16">
        <f>IF(A23="","",IF(COUNTIFS(Portfolio!$B$10:$B$69,A23,Portfolio!$H$10:$H$69,"&lt;&gt;")=0,"",SUMIFS(Portfolio!$H$10:$H$69,Portfolio!$B$10:$B$69,A23)))</f>
        <v/>
      </c>
      <c r="F23" s="17">
        <f>IF(OR(E23="",N(D23)=0),"",E23/SUMIFS(Portfolio!$D$10:$D$69,Portfolio!$B$10:$B$69,A23,Portfolio!$H$10:$H$69,"&lt;&gt;"))</f>
        <v/>
      </c>
      <c r="G23" s="17">
        <f>IF(OR(A23="",N(Portfolio!$G$70)=0),"",C23/Portfolio!$G$70)</f>
        <v/>
      </c>
      <c r="I23" s="22" t="inlineStr">
        <is>
          <t xml:space="preserve">Exceptional</t>
        </is>
      </c>
      <c r="J23" s="16">
        <f>SUMIFS(Portfolio!$G$10:$G$69,Portfolio!$K$10:$K$69,"Exceptional")</f>
        <v/>
      </c>
      <c r="K23" s="17">
        <f>IF(N(Portfolio!$G$70)=0,"",J23/Portfolio!$G$70)</f>
        <v/>
      </c>
      <c r="AA23" s="21">
        <f>IF(AND(ISNUMBER(C23),N(C23)&gt;0),C23+ROW()/1E9,"")</f>
        <v/>
      </c>
      <c r="AB23" s="21">
        <f>IF(19&gt;$AF$7,"",_xlfn.AGGREGATE(14,6,$AA$5:$AA$38,19))</f>
        <v/>
      </c>
      <c r="AC23" s="21">
        <f>IF(AB23&lt;&gt;"",INDEX($A$5:$A$38,MATCH(AB23,$AA$5:$AA$38,0)),IF(AND(19=$AF$7+1,$AF$8&gt;0.005),"Other (under "&amp;TEXT($AF$5,"0%")&amp;" each)",""))</f>
        <v/>
      </c>
      <c r="AD23" s="21">
        <f>IF(AB23&lt;&gt;"",INDEX($C$5:$C$38,MATCH(AB23,$AA$5:$AA$38,0)),IF(AC23&lt;&gt;"",$AF$8,""))</f>
        <v/>
      </c>
    </row>
    <row r="24">
      <c r="A24" s="22">
        <f>IF(Prices!$A$27="","",Prices!$A$27)</f>
        <v/>
      </c>
      <c r="B24" s="23">
        <f>IF(A24="","",SUMIFS(Portfolio!$C$10:$C$69,Portfolio!$B$10:$B$69,A24))</f>
        <v/>
      </c>
      <c r="C24" s="16">
        <f>IF(A24="","",SUMIFS(Portfolio!$G$10:$G$69,Portfolio!$B$10:$B$69,A24))</f>
        <v/>
      </c>
      <c r="D24" s="16">
        <f>IF(A24="","",SUMIFS(Portfolio!$D$10:$D$69,Portfolio!$B$10:$B$69,A24))</f>
        <v/>
      </c>
      <c r="E24" s="16">
        <f>IF(A24="","",IF(COUNTIFS(Portfolio!$B$10:$B$69,A24,Portfolio!$H$10:$H$69,"&lt;&gt;")=0,"",SUMIFS(Portfolio!$H$10:$H$69,Portfolio!$B$10:$B$69,A24)))</f>
        <v/>
      </c>
      <c r="F24" s="17">
        <f>IF(OR(E24="",N(D24)=0),"",E24/SUMIFS(Portfolio!$D$10:$D$69,Portfolio!$B$10:$B$69,A24,Portfolio!$H$10:$H$69,"&lt;&gt;"))</f>
        <v/>
      </c>
      <c r="G24" s="17">
        <f>IF(OR(A24="",N(Portfolio!$G$70)=0),"",C24/Portfolio!$G$70)</f>
        <v/>
      </c>
      <c r="I24" s="22" t="inlineStr">
        <is>
          <t xml:space="preserve">Strong</t>
        </is>
      </c>
      <c r="J24" s="16">
        <f>SUMIFS(Portfolio!$G$10:$G$69,Portfolio!$K$10:$K$69,"Strong")</f>
        <v/>
      </c>
      <c r="K24" s="17">
        <f>IF(N(Portfolio!$G$70)=0,"",J24/Portfolio!$G$70)</f>
        <v/>
      </c>
      <c r="AA24" s="21">
        <f>IF(AND(ISNUMBER(C24),N(C24)&gt;0),C24+ROW()/1E9,"")</f>
        <v/>
      </c>
      <c r="AB24" s="21">
        <f>IF(20&gt;$AF$7,"",_xlfn.AGGREGATE(14,6,$AA$5:$AA$38,20))</f>
        <v/>
      </c>
      <c r="AC24" s="21">
        <f>IF(AB24&lt;&gt;"",INDEX($A$5:$A$38,MATCH(AB24,$AA$5:$AA$38,0)),IF(AND(20=$AF$7+1,$AF$8&gt;0.005),"Other (under "&amp;TEXT($AF$5,"0%")&amp;" each)",""))</f>
        <v/>
      </c>
      <c r="AD24" s="21">
        <f>IF(AB24&lt;&gt;"",INDEX($C$5:$C$38,MATCH(AB24,$AA$5:$AA$38,0)),IF(AC24&lt;&gt;"",$AF$8,""))</f>
        <v/>
      </c>
    </row>
    <row r="25">
      <c r="A25" s="22">
        <f>IF(Prices!$A$28="","",Prices!$A$28)</f>
        <v/>
      </c>
      <c r="B25" s="23">
        <f>IF(A25="","",SUMIFS(Portfolio!$C$10:$C$69,Portfolio!$B$10:$B$69,A25))</f>
        <v/>
      </c>
      <c r="C25" s="16">
        <f>IF(A25="","",SUMIFS(Portfolio!$G$10:$G$69,Portfolio!$B$10:$B$69,A25))</f>
        <v/>
      </c>
      <c r="D25" s="16">
        <f>IF(A25="","",SUMIFS(Portfolio!$D$10:$D$69,Portfolio!$B$10:$B$69,A25))</f>
        <v/>
      </c>
      <c r="E25" s="16">
        <f>IF(A25="","",IF(COUNTIFS(Portfolio!$B$10:$B$69,A25,Portfolio!$H$10:$H$69,"&lt;&gt;")=0,"",SUMIFS(Portfolio!$H$10:$H$69,Portfolio!$B$10:$B$69,A25)))</f>
        <v/>
      </c>
      <c r="F25" s="17">
        <f>IF(OR(E25="",N(D25)=0),"",E25/SUMIFS(Portfolio!$D$10:$D$69,Portfolio!$B$10:$B$69,A25,Portfolio!$H$10:$H$69,"&lt;&gt;"))</f>
        <v/>
      </c>
      <c r="G25" s="17">
        <f>IF(OR(A25="",N(Portfolio!$G$70)=0),"",C25/Portfolio!$G$70)</f>
        <v/>
      </c>
      <c r="I25" s="22" t="inlineStr">
        <is>
          <t xml:space="preserve">Average/Decent</t>
        </is>
      </c>
      <c r="J25" s="16">
        <f>SUMIFS(Portfolio!$G$10:$G$69,Portfolio!$K$10:$K$69,"Average/Decent")</f>
        <v/>
      </c>
      <c r="K25" s="17">
        <f>IF(N(Portfolio!$G$70)=0,"",J25/Portfolio!$G$70)</f>
        <v/>
      </c>
      <c r="AA25" s="21">
        <f>IF(AND(ISNUMBER(C25),N(C25)&gt;0),C25+ROW()/1E9,"")</f>
        <v/>
      </c>
      <c r="AB25" s="21">
        <f>IF(21&gt;$AF$7,"",_xlfn.AGGREGATE(14,6,$AA$5:$AA$38,21))</f>
        <v/>
      </c>
      <c r="AC25" s="21">
        <f>IF(AB25&lt;&gt;"",INDEX($A$5:$A$38,MATCH(AB25,$AA$5:$AA$38,0)),IF(AND(21=$AF$7+1,$AF$8&gt;0.005),"Other (under "&amp;TEXT($AF$5,"0%")&amp;" each)",""))</f>
        <v/>
      </c>
      <c r="AD25" s="21">
        <f>IF(AB25&lt;&gt;"",INDEX($C$5:$C$38,MATCH(AB25,$AA$5:$AA$38,0)),IF(AC25&lt;&gt;"",$AF$8,""))</f>
        <v/>
      </c>
    </row>
    <row r="26">
      <c r="A26" s="22">
        <f>IF(Prices!$A$29="","",Prices!$A$29)</f>
        <v/>
      </c>
      <c r="B26" s="23">
        <f>IF(A26="","",SUMIFS(Portfolio!$C$10:$C$69,Portfolio!$B$10:$B$69,A26))</f>
        <v/>
      </c>
      <c r="C26" s="16">
        <f>IF(A26="","",SUMIFS(Portfolio!$G$10:$G$69,Portfolio!$B$10:$B$69,A26))</f>
        <v/>
      </c>
      <c r="D26" s="16">
        <f>IF(A26="","",SUMIFS(Portfolio!$D$10:$D$69,Portfolio!$B$10:$B$69,A26))</f>
        <v/>
      </c>
      <c r="E26" s="16">
        <f>IF(A26="","",IF(COUNTIFS(Portfolio!$B$10:$B$69,A26,Portfolio!$H$10:$H$69,"&lt;&gt;")=0,"",SUMIFS(Portfolio!$H$10:$H$69,Portfolio!$B$10:$B$69,A26)))</f>
        <v/>
      </c>
      <c r="F26" s="17">
        <f>IF(OR(E26="",N(D26)=0),"",E26/SUMIFS(Portfolio!$D$10:$D$69,Portfolio!$B$10:$B$69,A26,Portfolio!$H$10:$H$69,"&lt;&gt;"))</f>
        <v/>
      </c>
      <c r="G26" s="17">
        <f>IF(OR(A26="",N(Portfolio!$G$70)=0),"",C26/Portfolio!$G$70)</f>
        <v/>
      </c>
      <c r="I26" s="22" t="inlineStr">
        <is>
          <t xml:space="preserve">Weak</t>
        </is>
      </c>
      <c r="J26" s="16">
        <f>SUMIFS(Portfolio!$G$10:$G$69,Portfolio!$K$10:$K$69,"Weak")</f>
        <v/>
      </c>
      <c r="K26" s="17">
        <f>IF(N(Portfolio!$G$70)=0,"",J26/Portfolio!$G$70)</f>
        <v/>
      </c>
      <c r="AA26" s="21">
        <f>IF(AND(ISNUMBER(C26),N(C26)&gt;0),C26+ROW()/1E9,"")</f>
        <v/>
      </c>
      <c r="AB26" s="21">
        <f>IF(22&gt;$AF$7,"",_xlfn.AGGREGATE(14,6,$AA$5:$AA$38,22))</f>
        <v/>
      </c>
      <c r="AC26" s="21">
        <f>IF(AB26&lt;&gt;"",INDEX($A$5:$A$38,MATCH(AB26,$AA$5:$AA$38,0)),IF(AND(22=$AF$7+1,$AF$8&gt;0.005),"Other (under "&amp;TEXT($AF$5,"0%")&amp;" each)",""))</f>
        <v/>
      </c>
      <c r="AD26" s="21">
        <f>IF(AB26&lt;&gt;"",INDEX($C$5:$C$38,MATCH(AB26,$AA$5:$AA$38,0)),IF(AC26&lt;&gt;"",$AF$8,""))</f>
        <v/>
      </c>
    </row>
    <row r="27">
      <c r="A27" s="22">
        <f>IF(Prices!$A$30="","",Prices!$A$30)</f>
        <v/>
      </c>
      <c r="B27" s="23">
        <f>IF(A27="","",SUMIFS(Portfolio!$C$10:$C$69,Portfolio!$B$10:$B$69,A27))</f>
        <v/>
      </c>
      <c r="C27" s="16">
        <f>IF(A27="","",SUMIFS(Portfolio!$G$10:$G$69,Portfolio!$B$10:$B$69,A27))</f>
        <v/>
      </c>
      <c r="D27" s="16">
        <f>IF(A27="","",SUMIFS(Portfolio!$D$10:$D$69,Portfolio!$B$10:$B$69,A27))</f>
        <v/>
      </c>
      <c r="E27" s="16">
        <f>IF(A27="","",IF(COUNTIFS(Portfolio!$B$10:$B$69,A27,Portfolio!$H$10:$H$69,"&lt;&gt;")=0,"",SUMIFS(Portfolio!$H$10:$H$69,Portfolio!$B$10:$B$69,A27)))</f>
        <v/>
      </c>
      <c r="F27" s="17">
        <f>IF(OR(E27="",N(D27)=0),"",E27/SUMIFS(Portfolio!$D$10:$D$69,Portfolio!$B$10:$B$69,A27,Portfolio!$H$10:$H$69,"&lt;&gt;"))</f>
        <v/>
      </c>
      <c r="G27" s="17">
        <f>IF(OR(A27="",N(Portfolio!$G$70)=0),"",C27/Portfolio!$G$70)</f>
        <v/>
      </c>
      <c r="I27" s="22" t="inlineStr">
        <is>
          <t xml:space="preserve">Not rated</t>
        </is>
      </c>
      <c r="J27" s="16">
        <f>SUMIFS(Portfolio!$G$10:$G$69,Portfolio!$K$10:$K$69,"Not rated*")</f>
        <v/>
      </c>
      <c r="K27" s="17">
        <f>IF(N(Portfolio!$G$70)=0,"",J27/Portfolio!$G$70)</f>
        <v/>
      </c>
      <c r="AA27" s="21">
        <f>IF(AND(ISNUMBER(C27),N(C27)&gt;0),C27+ROW()/1E9,"")</f>
        <v/>
      </c>
      <c r="AB27" s="21">
        <f>IF(23&gt;$AF$7,"",_xlfn.AGGREGATE(14,6,$AA$5:$AA$38,23))</f>
        <v/>
      </c>
      <c r="AC27" s="21">
        <f>IF(AB27&lt;&gt;"",INDEX($A$5:$A$38,MATCH(AB27,$AA$5:$AA$38,0)),IF(AND(23=$AF$7+1,$AF$8&gt;0.005),"Other (under "&amp;TEXT($AF$5,"0%")&amp;" each)",""))</f>
        <v/>
      </c>
      <c r="AD27" s="21">
        <f>IF(AB27&lt;&gt;"",INDEX($C$5:$C$38,MATCH(AB27,$AA$5:$AA$38,0)),IF(AC27&lt;&gt;"",$AF$8,""))</f>
        <v/>
      </c>
    </row>
    <row r="28">
      <c r="A28" s="22">
        <f>IF(Prices!$A$31="","",Prices!$A$31)</f>
        <v/>
      </c>
      <c r="B28" s="23">
        <f>IF(A28="","",SUMIFS(Portfolio!$C$10:$C$69,Portfolio!$B$10:$B$69,A28))</f>
        <v/>
      </c>
      <c r="C28" s="16">
        <f>IF(A28="","",SUMIFS(Portfolio!$G$10:$G$69,Portfolio!$B$10:$B$69,A28))</f>
        <v/>
      </c>
      <c r="D28" s="16">
        <f>IF(A28="","",SUMIFS(Portfolio!$D$10:$D$69,Portfolio!$B$10:$B$69,A28))</f>
        <v/>
      </c>
      <c r="E28" s="16">
        <f>IF(A28="","",IF(COUNTIFS(Portfolio!$B$10:$B$69,A28,Portfolio!$H$10:$H$69,"&lt;&gt;")=0,"",SUMIFS(Portfolio!$H$10:$H$69,Portfolio!$B$10:$B$69,A28)))</f>
        <v/>
      </c>
      <c r="F28" s="17">
        <f>IF(OR(E28="",N(D28)=0),"",E28/SUMIFS(Portfolio!$D$10:$D$69,Portfolio!$B$10:$B$69,A28,Portfolio!$H$10:$H$69,"&lt;&gt;"))</f>
        <v/>
      </c>
      <c r="G28" s="17">
        <f>IF(OR(A28="",N(Portfolio!$G$70)=0),"",C28/Portfolio!$G$70)</f>
        <v/>
      </c>
      <c r="I28" s="22" t="inlineStr">
        <is>
          <t xml:space="preserve">No rating (cash)</t>
        </is>
      </c>
      <c r="J28" s="16">
        <f>SUMIFS(Portfolio!$G$10:$G$69,Portfolio!$K$10:$K$69,"-")</f>
        <v/>
      </c>
      <c r="K28" s="17">
        <f>IF(N(Portfolio!$G$70)=0,"",J28/Portfolio!$G$70)</f>
        <v/>
      </c>
      <c r="AA28" s="21">
        <f>IF(AND(ISNUMBER(C28),N(C28)&gt;0),C28+ROW()/1E9,"")</f>
        <v/>
      </c>
      <c r="AB28" s="21">
        <f>IF(24&gt;$AF$7,"",_xlfn.AGGREGATE(14,6,$AA$5:$AA$38,24))</f>
        <v/>
      </c>
      <c r="AC28" s="21">
        <f>IF(AB28&lt;&gt;"",INDEX($A$5:$A$38,MATCH(AB28,$AA$5:$AA$38,0)),IF(AND(24=$AF$7+1,$AF$8&gt;0.005),"Other (under "&amp;TEXT($AF$5,"0%")&amp;" each)",""))</f>
        <v/>
      </c>
      <c r="AD28" s="21">
        <f>IF(AB28&lt;&gt;"",INDEX($C$5:$C$38,MATCH(AB28,$AA$5:$AA$38,0)),IF(AC28&lt;&gt;"",$AF$8,""))</f>
        <v/>
      </c>
    </row>
    <row r="29">
      <c r="A29" s="22">
        <f>IF(Prices!$A$32="","",Prices!$A$32)</f>
        <v/>
      </c>
      <c r="B29" s="23">
        <f>IF(A29="","",SUMIFS(Portfolio!$C$10:$C$69,Portfolio!$B$10:$B$69,A29))</f>
        <v/>
      </c>
      <c r="C29" s="16">
        <f>IF(A29="","",SUMIFS(Portfolio!$G$10:$G$69,Portfolio!$B$10:$B$69,A29))</f>
        <v/>
      </c>
      <c r="D29" s="16">
        <f>IF(A29="","",SUMIFS(Portfolio!$D$10:$D$69,Portfolio!$B$10:$B$69,A29))</f>
        <v/>
      </c>
      <c r="E29" s="16">
        <f>IF(A29="","",IF(COUNTIFS(Portfolio!$B$10:$B$69,A29,Portfolio!$H$10:$H$69,"&lt;&gt;")=0,"",SUMIFS(Portfolio!$H$10:$H$69,Portfolio!$B$10:$B$69,A29)))</f>
        <v/>
      </c>
      <c r="F29" s="17">
        <f>IF(OR(E29="",N(D29)=0),"",E29/SUMIFS(Portfolio!$D$10:$D$69,Portfolio!$B$10:$B$69,A29,Portfolio!$H$10:$H$69,"&lt;&gt;"))</f>
        <v/>
      </c>
      <c r="G29" s="17">
        <f>IF(OR(A29="",N(Portfolio!$G$70)=0),"",C29/Portfolio!$G$70)</f>
        <v/>
      </c>
      <c r="AA29" s="21">
        <f>IF(AND(ISNUMBER(C29),N(C29)&gt;0),C29+ROW()/1E9,"")</f>
        <v/>
      </c>
      <c r="AB29" s="21">
        <f>IF(25&gt;$AF$7,"",_xlfn.AGGREGATE(14,6,$AA$5:$AA$38,25))</f>
        <v/>
      </c>
      <c r="AC29" s="21">
        <f>IF(AB29&lt;&gt;"",INDEX($A$5:$A$38,MATCH(AB29,$AA$5:$AA$38,0)),IF(AND(25=$AF$7+1,$AF$8&gt;0.005),"Other (under "&amp;TEXT($AF$5,"0%")&amp;" each)",""))</f>
        <v/>
      </c>
      <c r="AD29" s="21">
        <f>IF(AB29&lt;&gt;"",INDEX($C$5:$C$38,MATCH(AB29,$AA$5:$AA$38,0)),IF(AC29&lt;&gt;"",$AF$8,""))</f>
        <v/>
      </c>
    </row>
    <row r="30">
      <c r="A30" s="22">
        <f>IF(Prices!$A$33="","",Prices!$A$33)</f>
        <v/>
      </c>
      <c r="B30" s="23">
        <f>IF(A30="","",SUMIFS(Portfolio!$C$10:$C$69,Portfolio!$B$10:$B$69,A30))</f>
        <v/>
      </c>
      <c r="C30" s="16">
        <f>IF(A30="","",SUMIFS(Portfolio!$G$10:$G$69,Portfolio!$B$10:$B$69,A30))</f>
        <v/>
      </c>
      <c r="D30" s="16">
        <f>IF(A30="","",SUMIFS(Portfolio!$D$10:$D$69,Portfolio!$B$10:$B$69,A30))</f>
        <v/>
      </c>
      <c r="E30" s="16">
        <f>IF(A30="","",IF(COUNTIFS(Portfolio!$B$10:$B$69,A30,Portfolio!$H$10:$H$69,"&lt;&gt;")=0,"",SUMIFS(Portfolio!$H$10:$H$69,Portfolio!$B$10:$B$69,A30)))</f>
        <v/>
      </c>
      <c r="F30" s="17">
        <f>IF(OR(E30="",N(D30)=0),"",E30/SUMIFS(Portfolio!$D$10:$D$69,Portfolio!$B$10:$B$69,A30,Portfolio!$H$10:$H$69,"&lt;&gt;"))</f>
        <v/>
      </c>
      <c r="G30" s="17">
        <f>IF(OR(A30="",N(Portfolio!$G$70)=0),"",C30/Portfolio!$G$70)</f>
        <v/>
      </c>
      <c r="I30" s="18" t="inlineStr">
        <is>
          <t xml:space="preserve">Value-weighted score</t>
        </is>
      </c>
      <c r="J30" s="42">
        <f>Ratings!$G$41</f>
        <v/>
      </c>
      <c r="AA30" s="21">
        <f>IF(AND(ISNUMBER(C30),N(C30)&gt;0),C30+ROW()/1E9,"")</f>
        <v/>
      </c>
      <c r="AB30" s="21">
        <f>IF(26&gt;$AF$7,"",_xlfn.AGGREGATE(14,6,$AA$5:$AA$38,26))</f>
        <v/>
      </c>
      <c r="AC30" s="21">
        <f>IF(AB30&lt;&gt;"",INDEX($A$5:$A$38,MATCH(AB30,$AA$5:$AA$38,0)),IF(AND(26=$AF$7+1,$AF$8&gt;0.005),"Other (under "&amp;TEXT($AF$5,"0%")&amp;" each)",""))</f>
        <v/>
      </c>
      <c r="AD30" s="21">
        <f>IF(AB30&lt;&gt;"",INDEX($C$5:$C$38,MATCH(AB30,$AA$5:$AA$38,0)),IF(AC30&lt;&gt;"",$AF$8,""))</f>
        <v/>
      </c>
    </row>
    <row r="31">
      <c r="A31" s="22">
        <f>IF(Prices!$A$34="","",Prices!$A$34)</f>
        <v/>
      </c>
      <c r="B31" s="23">
        <f>IF(A31="","",SUMIFS(Portfolio!$C$10:$C$69,Portfolio!$B$10:$B$69,A31))</f>
        <v/>
      </c>
      <c r="C31" s="16">
        <f>IF(A31="","",SUMIFS(Portfolio!$G$10:$G$69,Portfolio!$B$10:$B$69,A31))</f>
        <v/>
      </c>
      <c r="D31" s="16">
        <f>IF(A31="","",SUMIFS(Portfolio!$D$10:$D$69,Portfolio!$B$10:$B$69,A31))</f>
        <v/>
      </c>
      <c r="E31" s="16">
        <f>IF(A31="","",IF(COUNTIFS(Portfolio!$B$10:$B$69,A31,Portfolio!$H$10:$H$69,"&lt;&gt;")=0,"",SUMIFS(Portfolio!$H$10:$H$69,Portfolio!$B$10:$B$69,A31)))</f>
        <v/>
      </c>
      <c r="F31" s="17">
        <f>IF(OR(E31="",N(D31)=0),"",E31/SUMIFS(Portfolio!$D$10:$D$69,Portfolio!$B$10:$B$69,A31,Portfolio!$H$10:$H$69,"&lt;&gt;"))</f>
        <v/>
      </c>
      <c r="G31" s="17">
        <f>IF(OR(A31="",N(Portfolio!$G$70)=0),"",C31/Portfolio!$G$70)</f>
        <v/>
      </c>
      <c r="I31" s="2" t="inlineStr">
        <is>
          <t xml:space="preserve">Tiers and scores come from the Ratings tab (Crypto Analysis). Rated holdings only.</t>
        </is>
      </c>
      <c r="AA31" s="21">
        <f>IF(AND(ISNUMBER(C31),N(C31)&gt;0),C31+ROW()/1E9,"")</f>
        <v/>
      </c>
      <c r="AB31" s="21">
        <f>IF(27&gt;$AF$7,"",_xlfn.AGGREGATE(14,6,$AA$5:$AA$38,27))</f>
        <v/>
      </c>
      <c r="AC31" s="21">
        <f>IF(AB31&lt;&gt;"",INDEX($A$5:$A$38,MATCH(AB31,$AA$5:$AA$38,0)),IF(AND(27=$AF$7+1,$AF$8&gt;0.005),"Other (under "&amp;TEXT($AF$5,"0%")&amp;" each)",""))</f>
        <v/>
      </c>
      <c r="AD31" s="21">
        <f>IF(AB31&lt;&gt;"",INDEX($C$5:$C$38,MATCH(AB31,$AA$5:$AA$38,0)),IF(AC31&lt;&gt;"",$AF$8,""))</f>
        <v/>
      </c>
    </row>
    <row r="32">
      <c r="A32" s="22">
        <f>IF(Prices!$A$35="","",Prices!$A$35)</f>
        <v/>
      </c>
      <c r="B32" s="23">
        <f>IF(A32="","",SUMIFS(Portfolio!$C$10:$C$69,Portfolio!$B$10:$B$69,A32))</f>
        <v/>
      </c>
      <c r="C32" s="16">
        <f>IF(A32="","",SUMIFS(Portfolio!$G$10:$G$69,Portfolio!$B$10:$B$69,A32))</f>
        <v/>
      </c>
      <c r="D32" s="16">
        <f>IF(A32="","",SUMIFS(Portfolio!$D$10:$D$69,Portfolio!$B$10:$B$69,A32))</f>
        <v/>
      </c>
      <c r="E32" s="16">
        <f>IF(A32="","",IF(COUNTIFS(Portfolio!$B$10:$B$69,A32,Portfolio!$H$10:$H$69,"&lt;&gt;")=0,"",SUMIFS(Portfolio!$H$10:$H$69,Portfolio!$B$10:$B$69,A32)))</f>
        <v/>
      </c>
      <c r="F32" s="17">
        <f>IF(OR(E32="",N(D32)=0),"",E32/SUMIFS(Portfolio!$D$10:$D$69,Portfolio!$B$10:$B$69,A32,Portfolio!$H$10:$H$69,"&lt;&gt;"))</f>
        <v/>
      </c>
      <c r="G32" s="17">
        <f>IF(OR(A32="",N(Portfolio!$G$70)=0),"",C32/Portfolio!$G$70)</f>
        <v/>
      </c>
      <c r="AA32" s="21">
        <f>IF(AND(ISNUMBER(C32),N(C32)&gt;0),C32+ROW()/1E9,"")</f>
        <v/>
      </c>
      <c r="AB32" s="21">
        <f>IF(28&gt;$AF$7,"",_xlfn.AGGREGATE(14,6,$AA$5:$AA$38,28))</f>
        <v/>
      </c>
      <c r="AC32" s="21">
        <f>IF(AB32&lt;&gt;"",INDEX($A$5:$A$38,MATCH(AB32,$AA$5:$AA$38,0)),IF(AND(28=$AF$7+1,$AF$8&gt;0.005),"Other (under "&amp;TEXT($AF$5,"0%")&amp;" each)",""))</f>
        <v/>
      </c>
      <c r="AD32" s="21">
        <f>IF(AB32&lt;&gt;"",INDEX($C$5:$C$38,MATCH(AB32,$AA$5:$AA$38,0)),IF(AC32&lt;&gt;"",$AF$8,""))</f>
        <v/>
      </c>
    </row>
    <row r="33">
      <c r="A33" s="22">
        <f>IF(Prices!$A$36="","",Prices!$A$36)</f>
        <v/>
      </c>
      <c r="B33" s="23">
        <f>IF(A33="","",SUMIFS(Portfolio!$C$10:$C$69,Portfolio!$B$10:$B$69,A33))</f>
        <v/>
      </c>
      <c r="C33" s="16">
        <f>IF(A33="","",SUMIFS(Portfolio!$G$10:$G$69,Portfolio!$B$10:$B$69,A33))</f>
        <v/>
      </c>
      <c r="D33" s="16">
        <f>IF(A33="","",SUMIFS(Portfolio!$D$10:$D$69,Portfolio!$B$10:$B$69,A33))</f>
        <v/>
      </c>
      <c r="E33" s="16">
        <f>IF(A33="","",IF(COUNTIFS(Portfolio!$B$10:$B$69,A33,Portfolio!$H$10:$H$69,"&lt;&gt;")=0,"",SUMIFS(Portfolio!$H$10:$H$69,Portfolio!$B$10:$B$69,A33)))</f>
        <v/>
      </c>
      <c r="F33" s="17">
        <f>IF(OR(E33="",N(D33)=0),"",E33/SUMIFS(Portfolio!$D$10:$D$69,Portfolio!$B$10:$B$69,A33,Portfolio!$H$10:$H$69,"&lt;&gt;"))</f>
        <v/>
      </c>
      <c r="G33" s="17">
        <f>IF(OR(A33="",N(Portfolio!$G$70)=0),"",C33/Portfolio!$G$70)</f>
        <v/>
      </c>
      <c r="AA33" s="21">
        <f>IF(AND(ISNUMBER(C33),N(C33)&gt;0),C33+ROW()/1E9,"")</f>
        <v/>
      </c>
      <c r="AB33" s="21">
        <f>IF(29&gt;$AF$7,"",_xlfn.AGGREGATE(14,6,$AA$5:$AA$38,29))</f>
        <v/>
      </c>
      <c r="AC33" s="21">
        <f>IF(AB33&lt;&gt;"",INDEX($A$5:$A$38,MATCH(AB33,$AA$5:$AA$38,0)),IF(AND(29=$AF$7+1,$AF$8&gt;0.005),"Other (under "&amp;TEXT($AF$5,"0%")&amp;" each)",""))</f>
        <v/>
      </c>
      <c r="AD33" s="21">
        <f>IF(AB33&lt;&gt;"",INDEX($C$5:$C$38,MATCH(AB33,$AA$5:$AA$38,0)),IF(AC33&lt;&gt;"",$AF$8,""))</f>
        <v/>
      </c>
    </row>
    <row r="34">
      <c r="A34" s="22">
        <f>IF(Prices!$A$37="","",Prices!$A$37)</f>
        <v/>
      </c>
      <c r="B34" s="23">
        <f>IF(A34="","",SUMIFS(Portfolio!$C$10:$C$69,Portfolio!$B$10:$B$69,A34))</f>
        <v/>
      </c>
      <c r="C34" s="16">
        <f>IF(A34="","",SUMIFS(Portfolio!$G$10:$G$69,Portfolio!$B$10:$B$69,A34))</f>
        <v/>
      </c>
      <c r="D34" s="16">
        <f>IF(A34="","",SUMIFS(Portfolio!$D$10:$D$69,Portfolio!$B$10:$B$69,A34))</f>
        <v/>
      </c>
      <c r="E34" s="16">
        <f>IF(A34="","",IF(COUNTIFS(Portfolio!$B$10:$B$69,A34,Portfolio!$H$10:$H$69,"&lt;&gt;")=0,"",SUMIFS(Portfolio!$H$10:$H$69,Portfolio!$B$10:$B$69,A34)))</f>
        <v/>
      </c>
      <c r="F34" s="17">
        <f>IF(OR(E34="",N(D34)=0),"",E34/SUMIFS(Portfolio!$D$10:$D$69,Portfolio!$B$10:$B$69,A34,Portfolio!$H$10:$H$69,"&lt;&gt;"))</f>
        <v/>
      </c>
      <c r="G34" s="17">
        <f>IF(OR(A34="",N(Portfolio!$G$70)=0),"",C34/Portfolio!$G$70)</f>
        <v/>
      </c>
      <c r="AA34" s="21">
        <f>IF(AND(ISNUMBER(C34),N(C34)&gt;0),C34+ROW()/1E9,"")</f>
        <v/>
      </c>
      <c r="AB34" s="21">
        <f>IF(30&gt;$AF$7,"",_xlfn.AGGREGATE(14,6,$AA$5:$AA$38,30))</f>
        <v/>
      </c>
      <c r="AC34" s="21">
        <f>IF(AB34&lt;&gt;"",INDEX($A$5:$A$38,MATCH(AB34,$AA$5:$AA$38,0)),IF(AND(30=$AF$7+1,$AF$8&gt;0.005),"Other (under "&amp;TEXT($AF$5,"0%")&amp;" each)",""))</f>
        <v/>
      </c>
      <c r="AD34" s="21">
        <f>IF(AB34&lt;&gt;"",INDEX($C$5:$C$38,MATCH(AB34,$AA$5:$AA$38,0)),IF(AC34&lt;&gt;"",$AF$8,""))</f>
        <v/>
      </c>
    </row>
    <row r="35">
      <c r="A35" s="22">
        <f>IF(Prices!$A$38="","",Prices!$A$38)</f>
        <v/>
      </c>
      <c r="B35" s="23">
        <f>IF(A35="","",SUMIFS(Portfolio!$C$10:$C$69,Portfolio!$B$10:$B$69,A35))</f>
        <v/>
      </c>
      <c r="C35" s="16">
        <f>IF(A35="","",SUMIFS(Portfolio!$G$10:$G$69,Portfolio!$B$10:$B$69,A35))</f>
        <v/>
      </c>
      <c r="D35" s="16">
        <f>IF(A35="","",SUMIFS(Portfolio!$D$10:$D$69,Portfolio!$B$10:$B$69,A35))</f>
        <v/>
      </c>
      <c r="E35" s="16">
        <f>IF(A35="","",IF(COUNTIFS(Portfolio!$B$10:$B$69,A35,Portfolio!$H$10:$H$69,"&lt;&gt;")=0,"",SUMIFS(Portfolio!$H$10:$H$69,Portfolio!$B$10:$B$69,A35)))</f>
        <v/>
      </c>
      <c r="F35" s="17">
        <f>IF(OR(E35="",N(D35)=0),"",E35/SUMIFS(Portfolio!$D$10:$D$69,Portfolio!$B$10:$B$69,A35,Portfolio!$H$10:$H$69,"&lt;&gt;"))</f>
        <v/>
      </c>
      <c r="G35" s="17">
        <f>IF(OR(A35="",N(Portfolio!$G$70)=0),"",C35/Portfolio!$G$70)</f>
        <v/>
      </c>
      <c r="AA35" s="21">
        <f>IF(AND(ISNUMBER(C35),N(C35)&gt;0),C35+ROW()/1E9,"")</f>
        <v/>
      </c>
      <c r="AB35" s="21">
        <f>IF(31&gt;$AF$7,"",_xlfn.AGGREGATE(14,6,$AA$5:$AA$38,31))</f>
        <v/>
      </c>
      <c r="AC35" s="21">
        <f>IF(AB35&lt;&gt;"",INDEX($A$5:$A$38,MATCH(AB35,$AA$5:$AA$38,0)),IF(AND(31=$AF$7+1,$AF$8&gt;0.005),"Other (under "&amp;TEXT($AF$5,"0%")&amp;" each)",""))</f>
        <v/>
      </c>
      <c r="AD35" s="21">
        <f>IF(AB35&lt;&gt;"",INDEX($C$5:$C$38,MATCH(AB35,$AA$5:$AA$38,0)),IF(AC35&lt;&gt;"",$AF$8,""))</f>
        <v/>
      </c>
    </row>
    <row r="36">
      <c r="A36" s="22">
        <f>IF(Prices!$A$39="","",Prices!$A$39)</f>
        <v/>
      </c>
      <c r="B36" s="23">
        <f>IF(A36="","",SUMIFS(Portfolio!$C$10:$C$69,Portfolio!$B$10:$B$69,A36))</f>
        <v/>
      </c>
      <c r="C36" s="16">
        <f>IF(A36="","",SUMIFS(Portfolio!$G$10:$G$69,Portfolio!$B$10:$B$69,A36))</f>
        <v/>
      </c>
      <c r="D36" s="16">
        <f>IF(A36="","",SUMIFS(Portfolio!$D$10:$D$69,Portfolio!$B$10:$B$69,A36))</f>
        <v/>
      </c>
      <c r="E36" s="16">
        <f>IF(A36="","",IF(COUNTIFS(Portfolio!$B$10:$B$69,A36,Portfolio!$H$10:$H$69,"&lt;&gt;")=0,"",SUMIFS(Portfolio!$H$10:$H$69,Portfolio!$B$10:$B$69,A36)))</f>
        <v/>
      </c>
      <c r="F36" s="17">
        <f>IF(OR(E36="",N(D36)=0),"",E36/SUMIFS(Portfolio!$D$10:$D$69,Portfolio!$B$10:$B$69,A36,Portfolio!$H$10:$H$69,"&lt;&gt;"))</f>
        <v/>
      </c>
      <c r="G36" s="17">
        <f>IF(OR(A36="",N(Portfolio!$G$70)=0),"",C36/Portfolio!$G$70)</f>
        <v/>
      </c>
      <c r="AA36" s="21">
        <f>IF(AND(ISNUMBER(C36),N(C36)&gt;0),C36+ROW()/1E9,"")</f>
        <v/>
      </c>
      <c r="AB36" s="21">
        <f>IF(32&gt;$AF$7,"",_xlfn.AGGREGATE(14,6,$AA$5:$AA$38,32))</f>
        <v/>
      </c>
      <c r="AC36" s="21">
        <f>IF(AB36&lt;&gt;"",INDEX($A$5:$A$38,MATCH(AB36,$AA$5:$AA$38,0)),IF(AND(32=$AF$7+1,$AF$8&gt;0.005),"Other (under "&amp;TEXT($AF$5,"0%")&amp;" each)",""))</f>
        <v/>
      </c>
      <c r="AD36" s="21">
        <f>IF(AB36&lt;&gt;"",INDEX($C$5:$C$38,MATCH(AB36,$AA$5:$AA$38,0)),IF(AC36&lt;&gt;"",$AF$8,""))</f>
        <v/>
      </c>
    </row>
    <row r="37">
      <c r="A37" s="22">
        <f>IF(Prices!$A$40="","",Prices!$A$40)</f>
        <v/>
      </c>
      <c r="B37" s="23">
        <f>IF(A37="","",SUMIFS(Portfolio!$C$10:$C$69,Portfolio!$B$10:$B$69,A37))</f>
        <v/>
      </c>
      <c r="C37" s="16">
        <f>IF(A37="","",SUMIFS(Portfolio!$G$10:$G$69,Portfolio!$B$10:$B$69,A37))</f>
        <v/>
      </c>
      <c r="D37" s="16">
        <f>IF(A37="","",SUMIFS(Portfolio!$D$10:$D$69,Portfolio!$B$10:$B$69,A37))</f>
        <v/>
      </c>
      <c r="E37" s="16">
        <f>IF(A37="","",IF(COUNTIFS(Portfolio!$B$10:$B$69,A37,Portfolio!$H$10:$H$69,"&lt;&gt;")=0,"",SUMIFS(Portfolio!$H$10:$H$69,Portfolio!$B$10:$B$69,A37)))</f>
        <v/>
      </c>
      <c r="F37" s="17">
        <f>IF(OR(E37="",N(D37)=0),"",E37/SUMIFS(Portfolio!$D$10:$D$69,Portfolio!$B$10:$B$69,A37,Portfolio!$H$10:$H$69,"&lt;&gt;"))</f>
        <v/>
      </c>
      <c r="G37" s="17">
        <f>IF(OR(A37="",N(Portfolio!$G$70)=0),"",C37/Portfolio!$G$70)</f>
        <v/>
      </c>
      <c r="AA37" s="21">
        <f>IF(AND(ISNUMBER(C37),N(C37)&gt;0),C37+ROW()/1E9,"")</f>
        <v/>
      </c>
      <c r="AB37" s="21">
        <f>IF(33&gt;$AF$7,"",_xlfn.AGGREGATE(14,6,$AA$5:$AA$38,33))</f>
        <v/>
      </c>
      <c r="AC37" s="21">
        <f>IF(AB37&lt;&gt;"",INDEX($A$5:$A$38,MATCH(AB37,$AA$5:$AA$38,0)),IF(AND(33=$AF$7+1,$AF$8&gt;0.005),"Other (under "&amp;TEXT($AF$5,"0%")&amp;" each)",""))</f>
        <v/>
      </c>
      <c r="AD37" s="21">
        <f>IF(AB37&lt;&gt;"",INDEX($C$5:$C$38,MATCH(AB37,$AA$5:$AA$38,0)),IF(AC37&lt;&gt;"",$AF$8,""))</f>
        <v/>
      </c>
    </row>
    <row r="38">
      <c r="A38" s="22">
        <f>IF(Prices!$A$41="","",Prices!$A$41)</f>
        <v/>
      </c>
      <c r="B38" s="23">
        <f>IF(A38="","",SUMIFS(Portfolio!$C$10:$C$69,Portfolio!$B$10:$B$69,A38))</f>
        <v/>
      </c>
      <c r="C38" s="16">
        <f>IF(A38="","",SUMIFS(Portfolio!$G$10:$G$69,Portfolio!$B$10:$B$69,A38))</f>
        <v/>
      </c>
      <c r="D38" s="16">
        <f>IF(A38="","",SUMIFS(Portfolio!$D$10:$D$69,Portfolio!$B$10:$B$69,A38))</f>
        <v/>
      </c>
      <c r="E38" s="16">
        <f>IF(A38="","",IF(COUNTIFS(Portfolio!$B$10:$B$69,A38,Portfolio!$H$10:$H$69,"&lt;&gt;")=0,"",SUMIFS(Portfolio!$H$10:$H$69,Portfolio!$B$10:$B$69,A38)))</f>
        <v/>
      </c>
      <c r="F38" s="17">
        <f>IF(OR(E38="",N(D38)=0),"",E38/SUMIFS(Portfolio!$D$10:$D$69,Portfolio!$B$10:$B$69,A38,Portfolio!$H$10:$H$69,"&lt;&gt;"))</f>
        <v/>
      </c>
      <c r="G38" s="17">
        <f>IF(OR(A38="",N(Portfolio!$G$70)=0),"",C38/Portfolio!$G$70)</f>
        <v/>
      </c>
      <c r="AA38" s="21">
        <f>IF(AND(ISNUMBER(C38),N(C38)&gt;0),C38+ROW()/1E9,"")</f>
        <v/>
      </c>
      <c r="AB38" s="21">
        <f>IF(34&gt;$AF$7,"",_xlfn.AGGREGATE(14,6,$AA$5:$AA$38,34))</f>
        <v/>
      </c>
      <c r="AC38" s="21">
        <f>IF(AB38&lt;&gt;"",INDEX($A$5:$A$38,MATCH(AB38,$AA$5:$AA$38,0)),IF(AND(34=$AF$7+1,$AF$8&gt;0.005),"Other (under "&amp;TEXT($AF$5,"0%")&amp;" each)",""))</f>
        <v/>
      </c>
      <c r="AD38" s="21">
        <f>IF(AB38&lt;&gt;"",INDEX($C$5:$C$38,MATCH(AB38,$AA$5:$AA$38,0)),IF(AC38&lt;&gt;"",$AF$8,""))</f>
        <v/>
      </c>
    </row>
    <row r="39">
      <c r="A39" s="18" t="inlineStr">
        <is>
          <t>TOTAL</t>
        </is>
      </c>
      <c r="B39" s="19" t="n"/>
      <c r="C39" s="25">
        <f>SUM(C5:C38)</f>
        <v/>
      </c>
      <c r="D39" s="25">
        <f>SUM(D5:D38)</f>
        <v/>
      </c>
      <c r="E39" s="25">
        <f>SUM(E5:E38)</f>
        <v/>
      </c>
      <c r="F39" s="19" t="n"/>
      <c r="G39" s="26">
        <f>SUM(G5:G38)</f>
        <v/>
      </c>
    </row>
  </sheetData>
  <mergeCells count="2">
    <mergeCell ref="I19:M20"/>
    <mergeCell ref="I18:L18"/>
  </mergeCells>
  <conditionalFormatting sqref="E5:F38">
    <cfRule type="expression" priority="1" dxfId="0">
      <formula>AND(ISNUMBER($E5),$E5&gt;0)</formula>
    </cfRule>
    <cfRule type="expression" priority="2" dxfId="1">
      <formula>AND(ISNUMBER($E5),$E5&lt;0)</formula>
    </cfRule>
  </conditionalFormatting>
  <conditionalFormatting sqref="I23:I26">
    <cfRule type="expression" priority="30" dxfId="5">
      <formula>I23="Exceptional"</formula>
    </cfRule>
    <cfRule type="expression" priority="31" dxfId="6">
      <formula>I23="Strong"</formula>
    </cfRule>
    <cfRule type="expression" priority="32" dxfId="7">
      <formula>I23="Average/Decent"</formula>
    </cfRule>
    <cfRule type="expression" priority="33" dxfId="8">
      <formula>I23="Weak"</formula>
    </cfRule>
  </conditionalFormatting>
  <pageMargins left="0.75" right="0.75" top="1" bottom="1" header="0.5" footer="0.5"/>
  <pageSetup orientation="landscape" fitToHeight="0" fitToWidth="1"/>
  <drawing xmlns:r="http://schemas.openxmlformats.org/officeDocument/2006/relationships" r:id="rId1"/>
</worksheet>
</file>

<file path=xl/worksheets/sheet3.xml><?xml version="1.0" encoding="utf-8"?>
<worksheet xmlns="http://schemas.openxmlformats.org/spreadsheetml/2006/main">
  <sheetPr>
    <outlinePr summaryBelow="1" summaryRight="1"/>
    <pageSetUpPr fitToPage="1"/>
  </sheetPr>
  <dimension ref="A1:I41"/>
  <sheetViews>
    <sheetView workbookViewId="0">
      <pane ySplit="7" topLeftCell="A8" activePane="bottomLeft" state="frozen"/>
      <selection pane="bottomLeft" activeCell="A1" sqref="A1"/>
    </sheetView>
  </sheetViews>
  <sheetFormatPr baseColWidth="8" defaultRowHeight="15"/>
  <cols>
    <col width="14" customWidth="1" min="1" max="1"/>
    <col width="26" customWidth="1" min="2" max="2"/>
    <col width="26" customWidth="1" min="3" max="3"/>
    <col width="15" customWidth="1" min="4" max="4"/>
    <col width="15" customWidth="1" min="5" max="5"/>
    <col width="15" customWidth="1" min="6" max="6"/>
    <col width="10" customWidth="1" min="7" max="7"/>
    <col width="19" customWidth="1" min="8" max="8"/>
    <col hidden="1" width="9" customWidth="1" min="9" max="9"/>
  </cols>
  <sheetData>
    <row r="1" ht="27" customHeight="1">
      <c r="A1" s="1" t="inlineStr">
        <is>
          <t>Prices</t>
        </is>
      </c>
    </row>
    <row r="2" ht="26" customHeight="1">
      <c r="A2" s="2" t="inlineStr">
        <is>
          <t>Live prices come from CoinGecko (free, no account) when the file opens; click Refresh Prices (or press Ctrl+Alt+F9) to refresh. A coin CoinGecko cannot price uses the Manual price you type. The raw CoinGecko reply sits in hidden row 3 (unhide only to troubleshoot).</t>
        </is>
      </c>
    </row>
    <row r="3" hidden="1">
      <c r="A3" s="9" t="inlineStr">
        <is>
          <t>Raw CoinGecko reply (leave alone):</t>
        </is>
      </c>
      <c r="B3" s="27">
        <f>IFERROR(_xlfn.WEBSERVICE("https://api.coingecko.com/api/v3/simple/price?ids="&amp;_xlfn.TEXTJOIN(",",TRUE,$C$8:$C$41)&amp;"&amp;vs_currencies=usd&amp;include_last_updated_at=true"),"")</f>
        <v/>
      </c>
    </row>
    <row r="4">
      <c r="A4" s="28" t="inlineStr">
        <is>
          <t>Hours from UTC</t>
        </is>
      </c>
      <c r="B4" s="29" t="n">
        <v>-4</v>
      </c>
      <c r="C4" s="9" t="inlineStr">
        <is>
          <t>-4 = US Eastern daylight time, -5 = Eastern standard time</t>
        </is>
      </c>
    </row>
    <row r="5">
      <c r="A5" s="28" t="inlineStr">
        <is>
          <t>Feed status</t>
        </is>
      </c>
      <c r="B5" s="30">
        <f>IF($B$3="","Offline: no reply from CoinGecko, so manual prices are used",IF(ISNUMBER(SEARCH("usd",$B$3)),"Live: prices from CoinGecko","CoinGecko replied with an error (often too many refreshes; wait a minute): manual prices used"))</f>
        <v/>
      </c>
      <c r="C5" s="31" t="n"/>
      <c r="D5" s="31" t="n"/>
      <c r="E5" s="31" t="n"/>
      <c r="F5" s="31" t="n"/>
      <c r="G5" s="31" t="n"/>
      <c r="H5" s="31" t="n"/>
    </row>
    <row r="7" ht="30" customHeight="1">
      <c r="A7" s="10" t="inlineStr">
        <is>
          <t>Coin</t>
        </is>
      </c>
      <c r="B7" s="10" t="inlineStr">
        <is>
          <t>Name</t>
        </is>
      </c>
      <c r="C7" s="10" t="inlineStr">
        <is>
          <t>CoinGecko ID</t>
        </is>
      </c>
      <c r="D7" s="10" t="inlineStr">
        <is>
          <t>Live price ($)</t>
        </is>
      </c>
      <c r="E7" s="10" t="inlineStr">
        <is>
          <t>Manual price ($)</t>
        </is>
      </c>
      <c r="F7" s="10" t="inlineStr">
        <is>
          <t>Price used ($)</t>
        </is>
      </c>
      <c r="G7" s="10" t="inlineStr">
        <is>
          <t>Source</t>
        </is>
      </c>
      <c r="H7" s="10" t="inlineStr">
        <is>
          <t>Price as of (your time)</t>
        </is>
      </c>
      <c r="I7" s="10" t="inlineStr">
        <is>
          <t>(helper)</t>
        </is>
      </c>
    </row>
    <row r="8">
      <c r="A8" s="11" t="inlineStr">
        <is>
          <t>Cash</t>
        </is>
      </c>
      <c r="B8" s="11" t="inlineStr">
        <is>
          <t>US dollar cash</t>
        </is>
      </c>
      <c r="C8" s="11" t="n"/>
      <c r="D8" s="14">
        <f>IF($I8="","",IFERROR(VALUE(MID($B$3,$I8,FIND(",",$B$3,$I8)-$I8)),""))</f>
        <v/>
      </c>
      <c r="E8" s="32" t="n">
        <v>1</v>
      </c>
      <c r="F8" s="33">
        <f>IF(ISNUMBER(D8),D8,IF(ISNUMBER(E8),E8,""))</f>
        <v/>
      </c>
      <c r="G8" s="34">
        <f>IF($A8="","",IF(ISNUMBER(D8),"Live",IF(ISNUMBER(E8),"Manual","No price")))</f>
        <v/>
      </c>
      <c r="H8" s="35">
        <f>IF($I8="","",IFERROR(VALUE(MID($B$3,FIND("last_updated_at"":",$B$3,$I8)+17,10))/86400+DATE(1970,1,1)+$B$4/24,""))</f>
        <v/>
      </c>
      <c r="I8" s="36">
        <f>IF(OR($C8="",$B$3=""),"",IFERROR(FIND(""""&amp;$C8&amp;""":{""usd"":",$B$3)+LEN(""""&amp;$C8&amp;""":{""usd"":"),""))</f>
        <v/>
      </c>
    </row>
    <row r="9">
      <c r="A9" s="11" t="inlineStr">
        <is>
          <t>USDC</t>
        </is>
      </c>
      <c r="B9" s="11" t="inlineStr">
        <is>
          <t>USD Coin</t>
        </is>
      </c>
      <c r="C9" s="11" t="inlineStr">
        <is>
          <t>usd-coin</t>
        </is>
      </c>
      <c r="D9" s="14">
        <f>IF($I9="","",IFERROR(VALUE(MID($B$3,$I9,FIND(",",$B$3,$I9)-$I9)),""))</f>
        <v/>
      </c>
      <c r="E9" s="32" t="n">
        <v>1</v>
      </c>
      <c r="F9" s="33">
        <f>IF(ISNUMBER(D9),D9,IF(ISNUMBER(E9),E9,""))</f>
        <v/>
      </c>
      <c r="G9" s="34">
        <f>IF($A9="","",IF(ISNUMBER(D9),"Live",IF(ISNUMBER(E9),"Manual","No price")))</f>
        <v/>
      </c>
      <c r="H9" s="35">
        <f>IF($I9="","",IFERROR(VALUE(MID($B$3,FIND("last_updated_at"":",$B$3,$I9)+17,10))/86400+DATE(1970,1,1)+$B$4/24,""))</f>
        <v/>
      </c>
      <c r="I9" s="36">
        <f>IF(OR($C9="",$B$3=""),"",IFERROR(FIND(""""&amp;$C9&amp;""":{""usd"":",$B$3)+LEN(""""&amp;$C9&amp;""":{""usd"":"),""))</f>
        <v/>
      </c>
    </row>
    <row r="10">
      <c r="A10" s="11" t="inlineStr">
        <is>
          <t>BTC</t>
        </is>
      </c>
      <c r="B10" s="11" t="inlineStr">
        <is>
          <t>Bitcoin</t>
        </is>
      </c>
      <c r="C10" s="11" t="inlineStr">
        <is>
          <t>bitcoin</t>
        </is>
      </c>
      <c r="D10" s="14">
        <f>IF($I10="","",IFERROR(VALUE(MID($B$3,$I10,FIND(",",$B$3,$I10)-$I10)),""))</f>
        <v/>
      </c>
      <c r="E10" s="32" t="n">
        <v>79120</v>
      </c>
      <c r="F10" s="33">
        <f>IF(ISNUMBER(D10),D10,IF(ISNUMBER(E10),E10,""))</f>
        <v/>
      </c>
      <c r="G10" s="34">
        <f>IF($A10="","",IF(ISNUMBER(D10),"Live",IF(ISNUMBER(E10),"Manual","No price")))</f>
        <v/>
      </c>
      <c r="H10" s="35">
        <f>IF($I10="","",IFERROR(VALUE(MID($B$3,FIND("last_updated_at"":",$B$3,$I10)+17,10))/86400+DATE(1970,1,1)+$B$4/24,""))</f>
        <v/>
      </c>
      <c r="I10" s="36">
        <f>IF(OR($C10="",$B$3=""),"",IFERROR(FIND(""""&amp;$C10&amp;""":{""usd"":",$B$3)+LEN(""""&amp;$C10&amp;""":{""usd"":"),""))</f>
        <v/>
      </c>
    </row>
    <row r="11">
      <c r="A11" s="11" t="inlineStr">
        <is>
          <t>LTC</t>
        </is>
      </c>
      <c r="B11" s="11" t="inlineStr">
        <is>
          <t>Litecoin</t>
        </is>
      </c>
      <c r="C11" s="11" t="inlineStr">
        <is>
          <t>litecoin</t>
        </is>
      </c>
      <c r="D11" s="14">
        <f>IF($I11="","",IFERROR(VALUE(MID($B$3,$I11,FIND(",",$B$3,$I11)-$I11)),""))</f>
        <v/>
      </c>
      <c r="E11" s="32" t="n">
        <v>55.45</v>
      </c>
      <c r="F11" s="33">
        <f>IF(ISNUMBER(D11),D11,IF(ISNUMBER(E11),E11,""))</f>
        <v/>
      </c>
      <c r="G11" s="34">
        <f>IF($A11="","",IF(ISNUMBER(D11),"Live",IF(ISNUMBER(E11),"Manual","No price")))</f>
        <v/>
      </c>
      <c r="H11" s="35">
        <f>IF($I11="","",IFERROR(VALUE(MID($B$3,FIND("last_updated_at"":",$B$3,$I11)+17,10))/86400+DATE(1970,1,1)+$B$4/24,""))</f>
        <v/>
      </c>
      <c r="I11" s="36">
        <f>IF(OR($C11="",$B$3=""),"",IFERROR(FIND(""""&amp;$C11&amp;""":{""usd"":",$B$3)+LEN(""""&amp;$C11&amp;""":{""usd"":"),""))</f>
        <v/>
      </c>
    </row>
    <row r="12">
      <c r="A12" s="11" t="inlineStr">
        <is>
          <t>XLM</t>
        </is>
      </c>
      <c r="B12" s="11" t="inlineStr">
        <is>
          <t>Stellar</t>
        </is>
      </c>
      <c r="C12" s="11" t="inlineStr">
        <is>
          <t>stellar</t>
        </is>
      </c>
      <c r="D12" s="14">
        <f>IF($I12="","",IFERROR(VALUE(MID($B$3,$I12,FIND(",",$B$3,$I12)-$I12)),""))</f>
        <v/>
      </c>
      <c r="E12" s="32" t="n">
        <v>0.16</v>
      </c>
      <c r="F12" s="33">
        <f>IF(ISNUMBER(D12),D12,IF(ISNUMBER(E12),E12,""))</f>
        <v/>
      </c>
      <c r="G12" s="34">
        <f>IF($A12="","",IF(ISNUMBER(D12),"Live",IF(ISNUMBER(E12),"Manual","No price")))</f>
        <v/>
      </c>
      <c r="H12" s="35">
        <f>IF($I12="","",IFERROR(VALUE(MID($B$3,FIND("last_updated_at"":",$B$3,$I12)+17,10))/86400+DATE(1970,1,1)+$B$4/24,""))</f>
        <v/>
      </c>
      <c r="I12" s="36">
        <f>IF(OR($C12="",$B$3=""),"",IFERROR(FIND(""""&amp;$C12&amp;""":{""usd"":",$B$3)+LEN(""""&amp;$C12&amp;""":{""usd"":"),""))</f>
        <v/>
      </c>
    </row>
    <row r="13">
      <c r="A13" s="11" t="inlineStr">
        <is>
          <t>NEAR</t>
        </is>
      </c>
      <c r="B13" s="11" t="inlineStr">
        <is>
          <t>NEAR Protocol</t>
        </is>
      </c>
      <c r="C13" s="11" t="inlineStr">
        <is>
          <t>near</t>
        </is>
      </c>
      <c r="D13" s="14">
        <f>IF($I13="","",IFERROR(VALUE(MID($B$3,$I13,FIND(",",$B$3,$I13)-$I13)),""))</f>
        <v/>
      </c>
      <c r="E13" s="32" t="n">
        <v>1.34</v>
      </c>
      <c r="F13" s="33">
        <f>IF(ISNUMBER(D13),D13,IF(ISNUMBER(E13),E13,""))</f>
        <v/>
      </c>
      <c r="G13" s="34">
        <f>IF($A13="","",IF(ISNUMBER(D13),"Live",IF(ISNUMBER(E13),"Manual","No price")))</f>
        <v/>
      </c>
      <c r="H13" s="35">
        <f>IF($I13="","",IFERROR(VALUE(MID($B$3,FIND("last_updated_at"":",$B$3,$I13)+17,10))/86400+DATE(1970,1,1)+$B$4/24,""))</f>
        <v/>
      </c>
      <c r="I13" s="36">
        <f>IF(OR($C13="",$B$3=""),"",IFERROR(FIND(""""&amp;$C13&amp;""":{""usd"":",$B$3)+LEN(""""&amp;$C13&amp;""":{""usd"":"),""))</f>
        <v/>
      </c>
    </row>
    <row r="14">
      <c r="A14" s="11" t="inlineStr">
        <is>
          <t>HBAR</t>
        </is>
      </c>
      <c r="B14" s="11" t="inlineStr">
        <is>
          <t>Hedera</t>
        </is>
      </c>
      <c r="C14" s="11" t="inlineStr">
        <is>
          <t>hedera-hashgraph</t>
        </is>
      </c>
      <c r="D14" s="14">
        <f>IF($I14="","",IFERROR(VALUE(MID($B$3,$I14,FIND(",",$B$3,$I14)-$I14)),""))</f>
        <v/>
      </c>
      <c r="E14" s="32" t="n">
        <v>0.09</v>
      </c>
      <c r="F14" s="33">
        <f>IF(ISNUMBER(D14),D14,IF(ISNUMBER(E14),E14,""))</f>
        <v/>
      </c>
      <c r="G14" s="34">
        <f>IF($A14="","",IF(ISNUMBER(D14),"Live",IF(ISNUMBER(E14),"Manual","No price")))</f>
        <v/>
      </c>
      <c r="H14" s="35">
        <f>IF($I14="","",IFERROR(VALUE(MID($B$3,FIND("last_updated_at"":",$B$3,$I14)+17,10))/86400+DATE(1970,1,1)+$B$4/24,""))</f>
        <v/>
      </c>
      <c r="I14" s="36">
        <f>IF(OR($C14="",$B$3=""),"",IFERROR(FIND(""""&amp;$C14&amp;""":{""usd"":",$B$3)+LEN(""""&amp;$C14&amp;""":{""usd"":"),""))</f>
        <v/>
      </c>
    </row>
    <row r="15">
      <c r="A15" s="11" t="inlineStr">
        <is>
          <t>ETH</t>
        </is>
      </c>
      <c r="B15" s="11" t="inlineStr">
        <is>
          <t>Ethereum</t>
        </is>
      </c>
      <c r="C15" s="11" t="inlineStr">
        <is>
          <t>ethereum</t>
        </is>
      </c>
      <c r="D15" s="14">
        <f>IF($I15="","",IFERROR(VALUE(MID($B$3,$I15,FIND(",",$B$3,$I15)-$I15)),""))</f>
        <v/>
      </c>
      <c r="E15" s="32" t="n">
        <v>2104.6</v>
      </c>
      <c r="F15" s="33">
        <f>IF(ISNUMBER(D15),D15,IF(ISNUMBER(E15),E15,""))</f>
        <v/>
      </c>
      <c r="G15" s="34">
        <f>IF($A15="","",IF(ISNUMBER(D15),"Live",IF(ISNUMBER(E15),"Manual","No price")))</f>
        <v/>
      </c>
      <c r="H15" s="35">
        <f>IF($I15="","",IFERROR(VALUE(MID($B$3,FIND("last_updated_at"":",$B$3,$I15)+17,10))/86400+DATE(1970,1,1)+$B$4/24,""))</f>
        <v/>
      </c>
      <c r="I15" s="36">
        <f>IF(OR($C15="",$B$3=""),"",IFERROR(FIND(""""&amp;$C15&amp;""":{""usd"":",$B$3)+LEN(""""&amp;$C15&amp;""":{""usd"":"),""))</f>
        <v/>
      </c>
    </row>
    <row r="16">
      <c r="A16" s="11" t="inlineStr">
        <is>
          <t>STETH</t>
        </is>
      </c>
      <c r="B16" s="11" t="inlineStr">
        <is>
          <t>Lido Staked Ether</t>
        </is>
      </c>
      <c r="C16" s="11" t="inlineStr">
        <is>
          <t>staked-ether</t>
        </is>
      </c>
      <c r="D16" s="14">
        <f>IF($I16="","",IFERROR(VALUE(MID($B$3,$I16,FIND(",",$B$3,$I16)-$I16)),""))</f>
        <v/>
      </c>
      <c r="E16" s="32" t="n">
        <v>2100.09</v>
      </c>
      <c r="F16" s="33">
        <f>IF(ISNUMBER(D16),D16,IF(ISNUMBER(E16),E16,""))</f>
        <v/>
      </c>
      <c r="G16" s="34">
        <f>IF($A16="","",IF(ISNUMBER(D16),"Live",IF(ISNUMBER(E16),"Manual","No price")))</f>
        <v/>
      </c>
      <c r="H16" s="35">
        <f>IF($I16="","",IFERROR(VALUE(MID($B$3,FIND("last_updated_at"":",$B$3,$I16)+17,10))/86400+DATE(1970,1,1)+$B$4/24,""))</f>
        <v/>
      </c>
      <c r="I16" s="36">
        <f>IF(OR($C16="",$B$3=""),"",IFERROR(FIND(""""&amp;$C16&amp;""":{""usd"":",$B$3)+LEN(""""&amp;$C16&amp;""":{""usd"":"),""))</f>
        <v/>
      </c>
    </row>
    <row r="17">
      <c r="A17" s="11" t="inlineStr">
        <is>
          <t>PAXG</t>
        </is>
      </c>
      <c r="B17" s="11" t="inlineStr">
        <is>
          <t>PAX Gold</t>
        </is>
      </c>
      <c r="C17" s="11" t="inlineStr">
        <is>
          <t>pax-gold</t>
        </is>
      </c>
      <c r="D17" s="14">
        <f>IF($I17="","",IFERROR(VALUE(MID($B$3,$I17,FIND(",",$B$3,$I17)-$I17)),""))</f>
        <v/>
      </c>
      <c r="E17" s="32" t="n">
        <v>5019.13</v>
      </c>
      <c r="F17" s="33">
        <f>IF(ISNUMBER(D17),D17,IF(ISNUMBER(E17),E17,""))</f>
        <v/>
      </c>
      <c r="G17" s="34">
        <f>IF($A17="","",IF(ISNUMBER(D17),"Live",IF(ISNUMBER(E17),"Manual","No price")))</f>
        <v/>
      </c>
      <c r="H17" s="35">
        <f>IF($I17="","",IFERROR(VALUE(MID($B$3,FIND("last_updated_at"":",$B$3,$I17)+17,10))/86400+DATE(1970,1,1)+$B$4/24,""))</f>
        <v/>
      </c>
      <c r="I17" s="36">
        <f>IF(OR($C17="",$B$3=""),"",IFERROR(FIND(""""&amp;$C17&amp;""":{""usd"":",$B$3)+LEN(""""&amp;$C17&amp;""":{""usd"":"),""))</f>
        <v/>
      </c>
    </row>
    <row r="18">
      <c r="A18" s="11" t="inlineStr">
        <is>
          <t>LINK</t>
        </is>
      </c>
      <c r="B18" s="11" t="inlineStr">
        <is>
          <t>Chainlink</t>
        </is>
      </c>
      <c r="C18" s="11" t="inlineStr">
        <is>
          <t>chainlink</t>
        </is>
      </c>
      <c r="D18" s="14">
        <f>IF($I18="","",IFERROR(VALUE(MID($B$3,$I18,FIND(",",$B$3,$I18)-$I18)),""))</f>
        <v/>
      </c>
      <c r="E18" s="32" t="n">
        <v>9.130000000000001</v>
      </c>
      <c r="F18" s="33">
        <f>IF(ISNUMBER(D18),D18,IF(ISNUMBER(E18),E18,""))</f>
        <v/>
      </c>
      <c r="G18" s="34">
        <f>IF($A18="","",IF(ISNUMBER(D18),"Live",IF(ISNUMBER(E18),"Manual","No price")))</f>
        <v/>
      </c>
      <c r="H18" s="35">
        <f>IF($I18="","",IFERROR(VALUE(MID($B$3,FIND("last_updated_at"":",$B$3,$I18)+17,10))/86400+DATE(1970,1,1)+$B$4/24,""))</f>
        <v/>
      </c>
      <c r="I18" s="36">
        <f>IF(OR($C18="",$B$3=""),"",IFERROR(FIND(""""&amp;$C18&amp;""":{""usd"":",$B$3)+LEN(""""&amp;$C18&amp;""":{""usd"":"),""))</f>
        <v/>
      </c>
    </row>
    <row r="19">
      <c r="A19" s="11" t="inlineStr">
        <is>
          <t>ENA</t>
        </is>
      </c>
      <c r="B19" s="11" t="inlineStr">
        <is>
          <t>Ethena</t>
        </is>
      </c>
      <c r="C19" s="11" t="inlineStr">
        <is>
          <t>ethena</t>
        </is>
      </c>
      <c r="D19" s="14">
        <f>IF($I19="","",IFERROR(VALUE(MID($B$3,$I19,FIND(",",$B$3,$I19)-$I19)),""))</f>
        <v/>
      </c>
      <c r="E19" s="32" t="n">
        <v>0.1</v>
      </c>
      <c r="F19" s="33">
        <f>IF(ISNUMBER(D19),D19,IF(ISNUMBER(E19),E19,""))</f>
        <v/>
      </c>
      <c r="G19" s="34">
        <f>IF($A19="","",IF(ISNUMBER(D19),"Live",IF(ISNUMBER(E19),"Manual","No price")))</f>
        <v/>
      </c>
      <c r="H19" s="35">
        <f>IF($I19="","",IFERROR(VALUE(MID($B$3,FIND("last_updated_at"":",$B$3,$I19)+17,10))/86400+DATE(1970,1,1)+$B$4/24,""))</f>
        <v/>
      </c>
      <c r="I19" s="36">
        <f>IF(OR($C19="",$B$3=""),"",IFERROR(FIND(""""&amp;$C19&amp;""":{""usd"":",$B$3)+LEN(""""&amp;$C19&amp;""":{""usd"":"),""))</f>
        <v/>
      </c>
    </row>
    <row r="20">
      <c r="A20" s="11" t="inlineStr">
        <is>
          <t>AVAX</t>
        </is>
      </c>
      <c r="B20" s="11" t="inlineStr">
        <is>
          <t>Avalanche</t>
        </is>
      </c>
      <c r="C20" s="11" t="inlineStr">
        <is>
          <t>avalanche-2</t>
        </is>
      </c>
      <c r="D20" s="14">
        <f>IF($I20="","",IFERROR(VALUE(MID($B$3,$I20,FIND(",",$B$3,$I20)-$I20)),""))</f>
        <v/>
      </c>
      <c r="E20" s="32" t="n">
        <v>9.779999999999999</v>
      </c>
      <c r="F20" s="33">
        <f>IF(ISNUMBER(D20),D20,IF(ISNUMBER(E20),E20,""))</f>
        <v/>
      </c>
      <c r="G20" s="34">
        <f>IF($A20="","",IF(ISNUMBER(D20),"Live",IF(ISNUMBER(E20),"Manual","No price")))</f>
        <v/>
      </c>
      <c r="H20" s="35">
        <f>IF($I20="","",IFERROR(VALUE(MID($B$3,FIND("last_updated_at"":",$B$3,$I20)+17,10))/86400+DATE(1970,1,1)+$B$4/24,""))</f>
        <v/>
      </c>
      <c r="I20" s="36">
        <f>IF(OR($C20="",$B$3=""),"",IFERROR(FIND(""""&amp;$C20&amp;""":{""usd"":",$B$3)+LEN(""""&amp;$C20&amp;""":{""usd"":"),""))</f>
        <v/>
      </c>
    </row>
    <row r="21">
      <c r="A21" s="11" t="inlineStr">
        <is>
          <t>SAVAX</t>
        </is>
      </c>
      <c r="B21" s="11" t="inlineStr">
        <is>
          <t>BENQI Liquid Staked AVAX</t>
        </is>
      </c>
      <c r="C21" s="11" t="inlineStr">
        <is>
          <t>benqi-liquid-staked-avax</t>
        </is>
      </c>
      <c r="D21" s="14">
        <f>IF($I21="","",IFERROR(VALUE(MID($B$3,$I21,FIND(",",$B$3,$I21)-$I21)),""))</f>
        <v/>
      </c>
      <c r="E21" s="32" t="n">
        <v>12.25</v>
      </c>
      <c r="F21" s="33">
        <f>IF(ISNUMBER(D21),D21,IF(ISNUMBER(E21),E21,""))</f>
        <v/>
      </c>
      <c r="G21" s="34">
        <f>IF($A21="","",IF(ISNUMBER(D21),"Live",IF(ISNUMBER(E21),"Manual","No price")))</f>
        <v/>
      </c>
      <c r="H21" s="35">
        <f>IF($I21="","",IFERROR(VALUE(MID($B$3,FIND("last_updated_at"":",$B$3,$I21)+17,10))/86400+DATE(1970,1,1)+$B$4/24,""))</f>
        <v/>
      </c>
      <c r="I21" s="36">
        <f>IF(OR($C21="",$B$3=""),"",IFERROR(FIND(""""&amp;$C21&amp;""":{""usd"":",$B$3)+LEN(""""&amp;$C21&amp;""":{""usd"":"),""))</f>
        <v/>
      </c>
    </row>
    <row r="22">
      <c r="A22" s="11" t="inlineStr">
        <is>
          <t>SOL</t>
        </is>
      </c>
      <c r="B22" s="11" t="inlineStr">
        <is>
          <t>Solana</t>
        </is>
      </c>
      <c r="C22" s="11" t="inlineStr">
        <is>
          <t>solana</t>
        </is>
      </c>
      <c r="D22" s="14">
        <f>IF($I22="","",IFERROR(VALUE(MID($B$3,$I22,FIND(",",$B$3,$I22)-$I22)),""))</f>
        <v/>
      </c>
      <c r="E22" s="32" t="n">
        <v>103.74</v>
      </c>
      <c r="F22" s="33">
        <f>IF(ISNUMBER(D22),D22,IF(ISNUMBER(E22),E22,""))</f>
        <v/>
      </c>
      <c r="G22" s="34">
        <f>IF($A22="","",IF(ISNUMBER(D22),"Live",IF(ISNUMBER(E22),"Manual","No price")))</f>
        <v/>
      </c>
      <c r="H22" s="35">
        <f>IF($I22="","",IFERROR(VALUE(MID($B$3,FIND("last_updated_at"":",$B$3,$I22)+17,10))/86400+DATE(1970,1,1)+$B$4/24,""))</f>
        <v/>
      </c>
      <c r="I22" s="36">
        <f>IF(OR($C22="",$B$3=""),"",IFERROR(FIND(""""&amp;$C22&amp;""":{""usd"":",$B$3)+LEN(""""&amp;$C22&amp;""":{""usd"":"),""))</f>
        <v/>
      </c>
    </row>
    <row r="23">
      <c r="A23" s="11" t="inlineStr">
        <is>
          <t>HYPE</t>
        </is>
      </c>
      <c r="B23" s="11" t="inlineStr">
        <is>
          <t>Hyperliquid</t>
        </is>
      </c>
      <c r="C23" s="11" t="inlineStr">
        <is>
          <t>hyperliquid</t>
        </is>
      </c>
      <c r="D23" s="14">
        <f>IF($I23="","",IFERROR(VALUE(MID($B$3,$I23,FIND(",",$B$3,$I23)-$I23)),""))</f>
        <v/>
      </c>
      <c r="E23" s="32" t="n">
        <v>85.06</v>
      </c>
      <c r="F23" s="33">
        <f>IF(ISNUMBER(D23),D23,IF(ISNUMBER(E23),E23,""))</f>
        <v/>
      </c>
      <c r="G23" s="34">
        <f>IF($A23="","",IF(ISNUMBER(D23),"Live",IF(ISNUMBER(E23),"Manual","No price")))</f>
        <v/>
      </c>
      <c r="H23" s="35">
        <f>IF($I23="","",IFERROR(VALUE(MID($B$3,FIND("last_updated_at"":",$B$3,$I23)+17,10))/86400+DATE(1970,1,1)+$B$4/24,""))</f>
        <v/>
      </c>
      <c r="I23" s="36">
        <f>IF(OR($C23="",$B$3=""),"",IFERROR(FIND(""""&amp;$C23&amp;""":{""usd"":",$B$3)+LEN(""""&amp;$C23&amp;""":{""usd"":"),""))</f>
        <v/>
      </c>
    </row>
    <row r="24">
      <c r="A24" s="11" t="inlineStr">
        <is>
          <t>ONDO</t>
        </is>
      </c>
      <c r="B24" s="11" t="inlineStr">
        <is>
          <t>Ondo</t>
        </is>
      </c>
      <c r="C24" s="11" t="inlineStr">
        <is>
          <t>ondo-finance</t>
        </is>
      </c>
      <c r="D24" s="14">
        <f>IF($I24="","",IFERROR(VALUE(MID($B$3,$I24,FIND(",",$B$3,$I24)-$I24)),""))</f>
        <v/>
      </c>
      <c r="E24" s="32" t="n">
        <v>0.4646</v>
      </c>
      <c r="F24" s="33">
        <f>IF(ISNUMBER(D24),D24,IF(ISNUMBER(E24),E24,""))</f>
        <v/>
      </c>
      <c r="G24" s="34">
        <f>IF($A24="","",IF(ISNUMBER(D24),"Live",IF(ISNUMBER(E24),"Manual","No price")))</f>
        <v/>
      </c>
      <c r="H24" s="35">
        <f>IF($I24="","",IFERROR(VALUE(MID($B$3,FIND("last_updated_at"":",$B$3,$I24)+17,10))/86400+DATE(1970,1,1)+$B$4/24,""))</f>
        <v/>
      </c>
      <c r="I24" s="36">
        <f>IF(OR($C24="",$B$3=""),"",IFERROR(FIND(""""&amp;$C24&amp;""":{""usd"":",$B$3)+LEN(""""&amp;$C24&amp;""":{""usd"":"),""))</f>
        <v/>
      </c>
    </row>
    <row r="25">
      <c r="A25" s="11" t="inlineStr">
        <is>
          <t>QNT</t>
        </is>
      </c>
      <c r="B25" s="11" t="inlineStr">
        <is>
          <t>Quant</t>
        </is>
      </c>
      <c r="C25" s="11" t="inlineStr">
        <is>
          <t>quant-network</t>
        </is>
      </c>
      <c r="D25" s="14">
        <f>IF($I25="","",IFERROR(VALUE(MID($B$3,$I25,FIND(",",$B$3,$I25)-$I25)),""))</f>
        <v/>
      </c>
      <c r="E25" s="32" t="n">
        <v>249.74</v>
      </c>
      <c r="F25" s="33">
        <f>IF(ISNUMBER(D25),D25,IF(ISNUMBER(E25),E25,""))</f>
        <v/>
      </c>
      <c r="G25" s="34">
        <f>IF($A25="","",IF(ISNUMBER(D25),"Live",IF(ISNUMBER(E25),"Manual","No price")))</f>
        <v/>
      </c>
      <c r="H25" s="35">
        <f>IF($I25="","",IFERROR(VALUE(MID($B$3,FIND("last_updated_at"":",$B$3,$I25)+17,10))/86400+DATE(1970,1,1)+$B$4/24,""))</f>
        <v/>
      </c>
      <c r="I25" s="36">
        <f>IF(OR($C25="",$B$3=""),"",IFERROR(FIND(""""&amp;$C25&amp;""":{""usd"":",$B$3)+LEN(""""&amp;$C25&amp;""":{""usd"":"),""))</f>
        <v/>
      </c>
    </row>
    <row r="26">
      <c r="A26" s="11" t="n"/>
      <c r="B26" s="11" t="n"/>
      <c r="C26" s="11" t="n"/>
      <c r="D26" s="14">
        <f>IF($I26="","",IFERROR(VALUE(MID($B$3,$I26,FIND(",",$B$3,$I26)-$I26)),""))</f>
        <v/>
      </c>
      <c r="E26" s="32" t="n"/>
      <c r="F26" s="33">
        <f>IF(ISNUMBER(D26),D26,IF(ISNUMBER(E26),E26,""))</f>
        <v/>
      </c>
      <c r="G26" s="34">
        <f>IF($A26="","",IF(ISNUMBER(D26),"Live",IF(ISNUMBER(E26),"Manual","No price")))</f>
        <v/>
      </c>
      <c r="H26" s="35">
        <f>IF($I26="","",IFERROR(VALUE(MID($B$3,FIND("last_updated_at"":",$B$3,$I26)+17,10))/86400+DATE(1970,1,1)+$B$4/24,""))</f>
        <v/>
      </c>
      <c r="I26" s="36">
        <f>IF(OR($C26="",$B$3=""),"",IFERROR(FIND(""""&amp;$C26&amp;""":{""usd"":",$B$3)+LEN(""""&amp;$C26&amp;""":{""usd"":"),""))</f>
        <v/>
      </c>
    </row>
    <row r="27">
      <c r="A27" s="11" t="n"/>
      <c r="B27" s="11" t="n"/>
      <c r="C27" s="11" t="n"/>
      <c r="D27" s="14">
        <f>IF($I27="","",IFERROR(VALUE(MID($B$3,$I27,FIND(",",$B$3,$I27)-$I27)),""))</f>
        <v/>
      </c>
      <c r="E27" s="32" t="n"/>
      <c r="F27" s="33">
        <f>IF(ISNUMBER(D27),D27,IF(ISNUMBER(E27),E27,""))</f>
        <v/>
      </c>
      <c r="G27" s="34">
        <f>IF($A27="","",IF(ISNUMBER(D27),"Live",IF(ISNUMBER(E27),"Manual","No price")))</f>
        <v/>
      </c>
      <c r="H27" s="35">
        <f>IF($I27="","",IFERROR(VALUE(MID($B$3,FIND("last_updated_at"":",$B$3,$I27)+17,10))/86400+DATE(1970,1,1)+$B$4/24,""))</f>
        <v/>
      </c>
      <c r="I27" s="36">
        <f>IF(OR($C27="",$B$3=""),"",IFERROR(FIND(""""&amp;$C27&amp;""":{""usd"":",$B$3)+LEN(""""&amp;$C27&amp;""":{""usd"":"),""))</f>
        <v/>
      </c>
    </row>
    <row r="28">
      <c r="A28" s="11" t="n"/>
      <c r="B28" s="11" t="n"/>
      <c r="C28" s="11" t="n"/>
      <c r="D28" s="14">
        <f>IF($I28="","",IFERROR(VALUE(MID($B$3,$I28,FIND(",",$B$3,$I28)-$I28)),""))</f>
        <v/>
      </c>
      <c r="E28" s="32" t="n"/>
      <c r="F28" s="33">
        <f>IF(ISNUMBER(D28),D28,IF(ISNUMBER(E28),E28,""))</f>
        <v/>
      </c>
      <c r="G28" s="34">
        <f>IF($A28="","",IF(ISNUMBER(D28),"Live",IF(ISNUMBER(E28),"Manual","No price")))</f>
        <v/>
      </c>
      <c r="H28" s="35">
        <f>IF($I28="","",IFERROR(VALUE(MID($B$3,FIND("last_updated_at"":",$B$3,$I28)+17,10))/86400+DATE(1970,1,1)+$B$4/24,""))</f>
        <v/>
      </c>
      <c r="I28" s="36">
        <f>IF(OR($C28="",$B$3=""),"",IFERROR(FIND(""""&amp;$C28&amp;""":{""usd"":",$B$3)+LEN(""""&amp;$C28&amp;""":{""usd"":"),""))</f>
        <v/>
      </c>
    </row>
    <row r="29">
      <c r="A29" s="11" t="n"/>
      <c r="B29" s="11" t="n"/>
      <c r="C29" s="11" t="n"/>
      <c r="D29" s="14">
        <f>IF($I29="","",IFERROR(VALUE(MID($B$3,$I29,FIND(",",$B$3,$I29)-$I29)),""))</f>
        <v/>
      </c>
      <c r="E29" s="32" t="n"/>
      <c r="F29" s="33">
        <f>IF(ISNUMBER(D29),D29,IF(ISNUMBER(E29),E29,""))</f>
        <v/>
      </c>
      <c r="G29" s="34">
        <f>IF($A29="","",IF(ISNUMBER(D29),"Live",IF(ISNUMBER(E29),"Manual","No price")))</f>
        <v/>
      </c>
      <c r="H29" s="35">
        <f>IF($I29="","",IFERROR(VALUE(MID($B$3,FIND("last_updated_at"":",$B$3,$I29)+17,10))/86400+DATE(1970,1,1)+$B$4/24,""))</f>
        <v/>
      </c>
      <c r="I29" s="36">
        <f>IF(OR($C29="",$B$3=""),"",IFERROR(FIND(""""&amp;$C29&amp;""":{""usd"":",$B$3)+LEN(""""&amp;$C29&amp;""":{""usd"":"),""))</f>
        <v/>
      </c>
    </row>
    <row r="30">
      <c r="A30" s="11" t="n"/>
      <c r="B30" s="11" t="n"/>
      <c r="C30" s="11" t="n"/>
      <c r="D30" s="14">
        <f>IF($I30="","",IFERROR(VALUE(MID($B$3,$I30,FIND(",",$B$3,$I30)-$I30)),""))</f>
        <v/>
      </c>
      <c r="E30" s="32" t="n"/>
      <c r="F30" s="33">
        <f>IF(ISNUMBER(D30),D30,IF(ISNUMBER(E30),E30,""))</f>
        <v/>
      </c>
      <c r="G30" s="34">
        <f>IF($A30="","",IF(ISNUMBER(D30),"Live",IF(ISNUMBER(E30),"Manual","No price")))</f>
        <v/>
      </c>
      <c r="H30" s="35">
        <f>IF($I30="","",IFERROR(VALUE(MID($B$3,FIND("last_updated_at"":",$B$3,$I30)+17,10))/86400+DATE(1970,1,1)+$B$4/24,""))</f>
        <v/>
      </c>
      <c r="I30" s="36">
        <f>IF(OR($C30="",$B$3=""),"",IFERROR(FIND(""""&amp;$C30&amp;""":{""usd"":",$B$3)+LEN(""""&amp;$C30&amp;""":{""usd"":"),""))</f>
        <v/>
      </c>
    </row>
    <row r="31">
      <c r="A31" s="11" t="n"/>
      <c r="B31" s="11" t="n"/>
      <c r="C31" s="11" t="n"/>
      <c r="D31" s="14">
        <f>IF($I31="","",IFERROR(VALUE(MID($B$3,$I31,FIND(",",$B$3,$I31)-$I31)),""))</f>
        <v/>
      </c>
      <c r="E31" s="32" t="n"/>
      <c r="F31" s="33">
        <f>IF(ISNUMBER(D31),D31,IF(ISNUMBER(E31),E31,""))</f>
        <v/>
      </c>
      <c r="G31" s="34">
        <f>IF($A31="","",IF(ISNUMBER(D31),"Live",IF(ISNUMBER(E31),"Manual","No price")))</f>
        <v/>
      </c>
      <c r="H31" s="35">
        <f>IF($I31="","",IFERROR(VALUE(MID($B$3,FIND("last_updated_at"":",$B$3,$I31)+17,10))/86400+DATE(1970,1,1)+$B$4/24,""))</f>
        <v/>
      </c>
      <c r="I31" s="36">
        <f>IF(OR($C31="",$B$3=""),"",IFERROR(FIND(""""&amp;$C31&amp;""":{""usd"":",$B$3)+LEN(""""&amp;$C31&amp;""":{""usd"":"),""))</f>
        <v/>
      </c>
    </row>
    <row r="32">
      <c r="A32" s="11" t="n"/>
      <c r="B32" s="11" t="n"/>
      <c r="C32" s="11" t="n"/>
      <c r="D32" s="14">
        <f>IF($I32="","",IFERROR(VALUE(MID($B$3,$I32,FIND(",",$B$3,$I32)-$I32)),""))</f>
        <v/>
      </c>
      <c r="E32" s="32" t="n"/>
      <c r="F32" s="33">
        <f>IF(ISNUMBER(D32),D32,IF(ISNUMBER(E32),E32,""))</f>
        <v/>
      </c>
      <c r="G32" s="34">
        <f>IF($A32="","",IF(ISNUMBER(D32),"Live",IF(ISNUMBER(E32),"Manual","No price")))</f>
        <v/>
      </c>
      <c r="H32" s="35">
        <f>IF($I32="","",IFERROR(VALUE(MID($B$3,FIND("last_updated_at"":",$B$3,$I32)+17,10))/86400+DATE(1970,1,1)+$B$4/24,""))</f>
        <v/>
      </c>
      <c r="I32" s="36">
        <f>IF(OR($C32="",$B$3=""),"",IFERROR(FIND(""""&amp;$C32&amp;""":{""usd"":",$B$3)+LEN(""""&amp;$C32&amp;""":{""usd"":"),""))</f>
        <v/>
      </c>
    </row>
    <row r="33">
      <c r="A33" s="11" t="n"/>
      <c r="B33" s="11" t="n"/>
      <c r="C33" s="11" t="n"/>
      <c r="D33" s="14">
        <f>IF($I33="","",IFERROR(VALUE(MID($B$3,$I33,FIND(",",$B$3,$I33)-$I33)),""))</f>
        <v/>
      </c>
      <c r="E33" s="32" t="n"/>
      <c r="F33" s="33">
        <f>IF(ISNUMBER(D33),D33,IF(ISNUMBER(E33),E33,""))</f>
        <v/>
      </c>
      <c r="G33" s="34">
        <f>IF($A33="","",IF(ISNUMBER(D33),"Live",IF(ISNUMBER(E33),"Manual","No price")))</f>
        <v/>
      </c>
      <c r="H33" s="35">
        <f>IF($I33="","",IFERROR(VALUE(MID($B$3,FIND("last_updated_at"":",$B$3,$I33)+17,10))/86400+DATE(1970,1,1)+$B$4/24,""))</f>
        <v/>
      </c>
      <c r="I33" s="36">
        <f>IF(OR($C33="",$B$3=""),"",IFERROR(FIND(""""&amp;$C33&amp;""":{""usd"":",$B$3)+LEN(""""&amp;$C33&amp;""":{""usd"":"),""))</f>
        <v/>
      </c>
    </row>
    <row r="34">
      <c r="A34" s="11" t="n"/>
      <c r="B34" s="11" t="n"/>
      <c r="C34" s="11" t="n"/>
      <c r="D34" s="14">
        <f>IF($I34="","",IFERROR(VALUE(MID($B$3,$I34,FIND(",",$B$3,$I34)-$I34)),""))</f>
        <v/>
      </c>
      <c r="E34" s="32" t="n"/>
      <c r="F34" s="33">
        <f>IF(ISNUMBER(D34),D34,IF(ISNUMBER(E34),E34,""))</f>
        <v/>
      </c>
      <c r="G34" s="34">
        <f>IF($A34="","",IF(ISNUMBER(D34),"Live",IF(ISNUMBER(E34),"Manual","No price")))</f>
        <v/>
      </c>
      <c r="H34" s="35">
        <f>IF($I34="","",IFERROR(VALUE(MID($B$3,FIND("last_updated_at"":",$B$3,$I34)+17,10))/86400+DATE(1970,1,1)+$B$4/24,""))</f>
        <v/>
      </c>
      <c r="I34" s="36">
        <f>IF(OR($C34="",$B$3=""),"",IFERROR(FIND(""""&amp;$C34&amp;""":{""usd"":",$B$3)+LEN(""""&amp;$C34&amp;""":{""usd"":"),""))</f>
        <v/>
      </c>
    </row>
    <row r="35">
      <c r="A35" s="11" t="n"/>
      <c r="B35" s="11" t="n"/>
      <c r="C35" s="11" t="n"/>
      <c r="D35" s="14">
        <f>IF($I35="","",IFERROR(VALUE(MID($B$3,$I35,FIND(",",$B$3,$I35)-$I35)),""))</f>
        <v/>
      </c>
      <c r="E35" s="32" t="n"/>
      <c r="F35" s="33">
        <f>IF(ISNUMBER(D35),D35,IF(ISNUMBER(E35),E35,""))</f>
        <v/>
      </c>
      <c r="G35" s="34">
        <f>IF($A35="","",IF(ISNUMBER(D35),"Live",IF(ISNUMBER(E35),"Manual","No price")))</f>
        <v/>
      </c>
      <c r="H35" s="35">
        <f>IF($I35="","",IFERROR(VALUE(MID($B$3,FIND("last_updated_at"":",$B$3,$I35)+17,10))/86400+DATE(1970,1,1)+$B$4/24,""))</f>
        <v/>
      </c>
      <c r="I35" s="36">
        <f>IF(OR($C35="",$B$3=""),"",IFERROR(FIND(""""&amp;$C35&amp;""":{""usd"":",$B$3)+LEN(""""&amp;$C35&amp;""":{""usd"":"),""))</f>
        <v/>
      </c>
    </row>
    <row r="36">
      <c r="A36" s="11" t="n"/>
      <c r="B36" s="11" t="n"/>
      <c r="C36" s="11" t="n"/>
      <c r="D36" s="14">
        <f>IF($I36="","",IFERROR(VALUE(MID($B$3,$I36,FIND(",",$B$3,$I36)-$I36)),""))</f>
        <v/>
      </c>
      <c r="E36" s="32" t="n"/>
      <c r="F36" s="33">
        <f>IF(ISNUMBER(D36),D36,IF(ISNUMBER(E36),E36,""))</f>
        <v/>
      </c>
      <c r="G36" s="34">
        <f>IF($A36="","",IF(ISNUMBER(D36),"Live",IF(ISNUMBER(E36),"Manual","No price")))</f>
        <v/>
      </c>
      <c r="H36" s="35">
        <f>IF($I36="","",IFERROR(VALUE(MID($B$3,FIND("last_updated_at"":",$B$3,$I36)+17,10))/86400+DATE(1970,1,1)+$B$4/24,""))</f>
        <v/>
      </c>
      <c r="I36" s="36">
        <f>IF(OR($C36="",$B$3=""),"",IFERROR(FIND(""""&amp;$C36&amp;""":{""usd"":",$B$3)+LEN(""""&amp;$C36&amp;""":{""usd"":"),""))</f>
        <v/>
      </c>
    </row>
    <row r="37">
      <c r="A37" s="11" t="n"/>
      <c r="B37" s="11" t="n"/>
      <c r="C37" s="11" t="n"/>
      <c r="D37" s="14">
        <f>IF($I37="","",IFERROR(VALUE(MID($B$3,$I37,FIND(",",$B$3,$I37)-$I37)),""))</f>
        <v/>
      </c>
      <c r="E37" s="32" t="n"/>
      <c r="F37" s="33">
        <f>IF(ISNUMBER(D37),D37,IF(ISNUMBER(E37),E37,""))</f>
        <v/>
      </c>
      <c r="G37" s="34">
        <f>IF($A37="","",IF(ISNUMBER(D37),"Live",IF(ISNUMBER(E37),"Manual","No price")))</f>
        <v/>
      </c>
      <c r="H37" s="35">
        <f>IF($I37="","",IFERROR(VALUE(MID($B$3,FIND("last_updated_at"":",$B$3,$I37)+17,10))/86400+DATE(1970,1,1)+$B$4/24,""))</f>
        <v/>
      </c>
      <c r="I37" s="36">
        <f>IF(OR($C37="",$B$3=""),"",IFERROR(FIND(""""&amp;$C37&amp;""":{""usd"":",$B$3)+LEN(""""&amp;$C37&amp;""":{""usd"":"),""))</f>
        <v/>
      </c>
    </row>
    <row r="38">
      <c r="A38" s="11" t="n"/>
      <c r="B38" s="11" t="n"/>
      <c r="C38" s="11" t="n"/>
      <c r="D38" s="14">
        <f>IF($I38="","",IFERROR(VALUE(MID($B$3,$I38,FIND(",",$B$3,$I38)-$I38)),""))</f>
        <v/>
      </c>
      <c r="E38" s="32" t="n"/>
      <c r="F38" s="33">
        <f>IF(ISNUMBER(D38),D38,IF(ISNUMBER(E38),E38,""))</f>
        <v/>
      </c>
      <c r="G38" s="34">
        <f>IF($A38="","",IF(ISNUMBER(D38),"Live",IF(ISNUMBER(E38),"Manual","No price")))</f>
        <v/>
      </c>
      <c r="H38" s="35">
        <f>IF($I38="","",IFERROR(VALUE(MID($B$3,FIND("last_updated_at"":",$B$3,$I38)+17,10))/86400+DATE(1970,1,1)+$B$4/24,""))</f>
        <v/>
      </c>
      <c r="I38" s="36">
        <f>IF(OR($C38="",$B$3=""),"",IFERROR(FIND(""""&amp;$C38&amp;""":{""usd"":",$B$3)+LEN(""""&amp;$C38&amp;""":{""usd"":"),""))</f>
        <v/>
      </c>
    </row>
    <row r="39">
      <c r="A39" s="11" t="n"/>
      <c r="B39" s="11" t="n"/>
      <c r="C39" s="11" t="n"/>
      <c r="D39" s="14">
        <f>IF($I39="","",IFERROR(VALUE(MID($B$3,$I39,FIND(",",$B$3,$I39)-$I39)),""))</f>
        <v/>
      </c>
      <c r="E39" s="32" t="n"/>
      <c r="F39" s="33">
        <f>IF(ISNUMBER(D39),D39,IF(ISNUMBER(E39),E39,""))</f>
        <v/>
      </c>
      <c r="G39" s="34">
        <f>IF($A39="","",IF(ISNUMBER(D39),"Live",IF(ISNUMBER(E39),"Manual","No price")))</f>
        <v/>
      </c>
      <c r="H39" s="35">
        <f>IF($I39="","",IFERROR(VALUE(MID($B$3,FIND("last_updated_at"":",$B$3,$I39)+17,10))/86400+DATE(1970,1,1)+$B$4/24,""))</f>
        <v/>
      </c>
      <c r="I39" s="36">
        <f>IF(OR($C39="",$B$3=""),"",IFERROR(FIND(""""&amp;$C39&amp;""":{""usd"":",$B$3)+LEN(""""&amp;$C39&amp;""":{""usd"":"),""))</f>
        <v/>
      </c>
    </row>
    <row r="40">
      <c r="A40" s="11" t="n"/>
      <c r="B40" s="11" t="n"/>
      <c r="C40" s="11" t="n"/>
      <c r="D40" s="14">
        <f>IF($I40="","",IFERROR(VALUE(MID($B$3,$I40,FIND(",",$B$3,$I40)-$I40)),""))</f>
        <v/>
      </c>
      <c r="E40" s="32" t="n"/>
      <c r="F40" s="33">
        <f>IF(ISNUMBER(D40),D40,IF(ISNUMBER(E40),E40,""))</f>
        <v/>
      </c>
      <c r="G40" s="34">
        <f>IF($A40="","",IF(ISNUMBER(D40),"Live",IF(ISNUMBER(E40),"Manual","No price")))</f>
        <v/>
      </c>
      <c r="H40" s="35">
        <f>IF($I40="","",IFERROR(VALUE(MID($B$3,FIND("last_updated_at"":",$B$3,$I40)+17,10))/86400+DATE(1970,1,1)+$B$4/24,""))</f>
        <v/>
      </c>
      <c r="I40" s="36">
        <f>IF(OR($C40="",$B$3=""),"",IFERROR(FIND(""""&amp;$C40&amp;""":{""usd"":",$B$3)+LEN(""""&amp;$C40&amp;""":{""usd"":"),""))</f>
        <v/>
      </c>
    </row>
    <row r="41">
      <c r="A41" s="11" t="n"/>
      <c r="B41" s="11" t="n"/>
      <c r="C41" s="11" t="n"/>
      <c r="D41" s="14">
        <f>IF($I41="","",IFERROR(VALUE(MID($B$3,$I41,FIND(",",$B$3,$I41)-$I41)),""))</f>
        <v/>
      </c>
      <c r="E41" s="32" t="n"/>
      <c r="F41" s="33">
        <f>IF(ISNUMBER(D41),D41,IF(ISNUMBER(E41),E41,""))</f>
        <v/>
      </c>
      <c r="G41" s="34">
        <f>IF($A41="","",IF(ISNUMBER(D41),"Live",IF(ISNUMBER(E41),"Manual","No price")))</f>
        <v/>
      </c>
      <c r="H41" s="35">
        <f>IF($I41="","",IFERROR(VALUE(MID($B$3,FIND("last_updated_at"":",$B$3,$I41)+17,10))/86400+DATE(1970,1,1)+$B$4/24,""))</f>
        <v/>
      </c>
      <c r="I41" s="36">
        <f>IF(OR($C41="",$B$3=""),"",IFERROR(FIND(""""&amp;$C41&amp;""":{""usd"":",$B$3)+LEN(""""&amp;$C41&amp;""":{""usd"":"),""))</f>
        <v/>
      </c>
    </row>
  </sheetData>
  <mergeCells count="3">
    <mergeCell ref="B5:H5"/>
    <mergeCell ref="A2:H2"/>
    <mergeCell ref="C4:H4"/>
  </mergeCells>
  <conditionalFormatting sqref="G8:G41">
    <cfRule type="expression" priority="1" dxfId="4">
      <formula>$G8="Manual"</formula>
    </cfRule>
    <cfRule type="expression" priority="2" dxfId="1">
      <formula>$G8="No price"</formula>
    </cfRule>
  </conditionalFormatting>
  <pageMargins left="0.75" right="0.75" top="1" bottom="1" header="0.5" footer="0.5"/>
  <pageSetup orientation="landscape" fitToHeight="0" fitToWidth="1"/>
  <drawing xmlns:r="http://schemas.openxmlformats.org/officeDocument/2006/relationships" r:id="rId1"/>
</worksheet>
</file>

<file path=xl/worksheets/sheet4.xml><?xml version="1.0" encoding="utf-8"?>
<worksheet xmlns="http://schemas.openxmlformats.org/spreadsheetml/2006/main">
  <sheetPr>
    <outlinePr summaryBelow="1" summaryRight="1"/>
    <pageSetUpPr fitToPage="1"/>
  </sheetPr>
  <dimension ref="A1:A31"/>
  <sheetViews>
    <sheetView workbookViewId="0">
      <selection activeCell="A1" sqref="A1"/>
    </sheetView>
  </sheetViews>
  <sheetFormatPr baseColWidth="8" defaultRowHeight="15"/>
  <cols>
    <col width="120" customWidth="1" min="1" max="1"/>
  </cols>
  <sheetData>
    <row r="1">
      <c r="A1" s="37" t="inlineStr">
        <is>
          <t>CRYPTO PORTFOLIO TRACKER — NOTES</t>
        </is>
      </c>
    </row>
    <row r="2">
      <c r="A2" s="38" t="inlineStr">
        <is>
          <t>Version 2.1  —  7 October 2026  (file: Crypto Portfolio Tracker V2.1)</t>
        </is>
      </c>
    </row>
    <row r="3">
      <c r="A3" s="39" t="inlineStr"/>
    </row>
    <row r="4">
      <c r="A4" s="40" t="inlineStr">
        <is>
          <t>HOW IT WORKS</t>
        </is>
      </c>
    </row>
    <row r="5" ht="32" customHeight="1">
      <c r="A5" s="39" t="inlineStr">
        <is>
          <t>Portfolio: one row per coin per location (exchange, wallet or bank). Type Location, Coin (pick from the list), Quantity and Total cost. Price, Value, Unrealized P&amp;L and Return fill themselves.</t>
        </is>
      </c>
    </row>
    <row r="6" ht="47" customHeight="1">
      <c r="A6" s="39" t="inlineStr">
        <is>
          <t>Total cost is what you paid for that holding, fees included. When you buy more, add the new quantity and the new cost to the same row (or add a row). When you sell part, reduce the quantity and reduce the cost in proportion. Leave cost blank and that row shows value only; the top of Portfolio counts how many holdings still need a cost.</t>
        </is>
      </c>
    </row>
    <row r="7" ht="47" customHeight="1">
      <c r="A7" s="39" t="inlineStr">
        <is>
          <t>Summary: totals by coin and by location, with each one's share of the portfolio and an allocation pie chart (coins under 3% of the total are grouped as Other; change the 3% in hidden cell Summary AF5). Type your locations in the yellow cells (same spelling as on Portfolio).</t>
        </is>
      </c>
    </row>
    <row r="8" ht="47" customHeight="1">
      <c r="A8" s="39" t="inlineStr">
        <is>
          <t>Prices: live prices come from CoinGecko (free, no account needed). One request fetches every coin when the file opens. To refresh, click the Refresh Prices button at the top of Prices (or press Ctrl+Alt+F9 on any tab). Price as of shows when CoinGecko last updated each price, in your time zone (Prices B4: hours from UTC).</t>
        </is>
      </c>
    </row>
    <row r="9" ht="47" customHeight="1">
      <c r="A9" s="39" t="inlineStr">
        <is>
          <t>Live prices need Windows desktop Excel (the WEBSERVICE function) and an internet connection. Click Enable Editing when the file opens, or nothing will update. If CoinGecko cannot be reached, or a coin has no CoinGecko ID, the Manual price is used and the Source column says so.</t>
        </is>
      </c>
    </row>
    <row r="10" ht="47" customHeight="1">
      <c r="A10" s="39" t="inlineStr">
        <is>
          <t>REFRESH BUTTON: the button runs a one-line macro (RefreshPrices: recalculate everything), which is why the file is .xlsm. Excel blocks macros in downloaded files: once, right-click the file in File Explorer &gt; Properties &gt; tick Unblock &gt; OK. Then click Enable Content when Excel asks. If macros stay off, Ctrl+Alt+F9 still refreshes.</t>
        </is>
      </c>
    </row>
    <row r="11" ht="32" customHeight="1">
      <c r="A11" s="39" t="inlineStr">
        <is>
          <t>Don't refresh more than about once a minute: CoinGecko's free service limits how often it answers, and an over-limit reply falls back to manual prices until the next refresh.</t>
        </is>
      </c>
    </row>
    <row r="12" ht="47" customHeight="1">
      <c r="A12" s="39" t="inlineStr">
        <is>
          <t>ADDING A COIN: on Prices, type the symbol, name and its CoinGecko ID in a blank yellow row. The ID is the last part of the coin's page address on coingecko.com (bitcoin, staked-ether, hyperliquid). Optionally type a manual price as a fallback. The coin then appears in the Coin list on Portfolio and in the Summary.</t>
        </is>
      </c>
    </row>
    <row r="13" ht="17" customHeight="1">
      <c r="A13" s="39" t="inlineStr">
        <is>
          <t>Cash and stablecoins: Cash has no CoinGecko ID and uses a manual price of $1. USDC is priced live (usually $0.99-$1.00).</t>
        </is>
      </c>
    </row>
    <row r="14" ht="47" customHeight="1">
      <c r="A14" s="39" t="inlineStr">
        <is>
          <t>RATINGS: the Ratings tab holds each coin's score and tier from the Crypto Analysis workbook (copied, not linked; the source and date are on the tab). Portfolio shows the tier and score next to each holding; Summary shows the value in each tier and the value-weighted score. STETH uses ETH's rating and SAVAX uses AVAX's (Rated as column); Cash has none. To refresh, give Claude this file and the newest Crypto Analysis workbook.</t>
        </is>
      </c>
    </row>
    <row r="15">
      <c r="A15" s="39" t="inlineStr"/>
    </row>
    <row r="16">
      <c r="A16" s="40" t="inlineStr">
        <is>
          <t>HOW TO UPDATE THIS WORKBOOK  (instructions for you, Claude or any other assistant)</t>
        </is>
      </c>
    </row>
    <row r="17" ht="47" customHeight="1">
      <c r="A17" s="39" t="inlineStr">
        <is>
          <t>1.  VERSION NUMBERS: a major change (new features; new, moved or removed columns, rows or tabs; changed calculations) raises the first number: V1 → V2 (later V2.1 → V3). A minor change (wording, formatting, small fixes, a changed setting) adds or raises the decimal: V1 → V1.1 → V1.2. If unsure, say which was chosen and why.</t>
        </is>
      </c>
    </row>
    <row r="18" ht="32" customHeight="1">
      <c r="A18" s="39" t="inlineStr">
        <is>
          <t>2.  FILE NAME: save as 'Crypto Portfolio Tracker V&lt;version&gt;.xlsm' (macro-enabled, so the Refresh button keeps working). Never overwrite an earlier version.</t>
        </is>
      </c>
    </row>
    <row r="19" ht="17" customHeight="1">
      <c r="A19" s="39" t="inlineStr">
        <is>
          <t>3.  INSIDE THE FILE: update the version line (row 2) and add a one-line entry at the top of the change log below.</t>
        </is>
      </c>
    </row>
    <row r="20" ht="17" customHeight="1">
      <c r="A20" s="39" t="inlineStr">
        <is>
          <t>4.  KEEP THESE NOTES IN STEP with any change, and keep tab names and column headers unless the change is meant to rename them.</t>
        </is>
      </c>
    </row>
    <row r="21" ht="32" customHeight="1">
      <c r="A21" s="39" t="inlineStr">
        <is>
          <t>5.  CHECK BEFORE SAVING: no new #REF! or #NAME? errors, and existing numbers unchanged except where the change was meant to change them.</t>
        </is>
      </c>
    </row>
    <row r="22">
      <c r="A22" s="39" t="inlineStr"/>
    </row>
    <row r="23">
      <c r="A23" s="40" t="inlineStr">
        <is>
          <t>CHANGE LOG (newest first)</t>
        </is>
      </c>
    </row>
    <row r="24" ht="32" customHeight="1">
      <c r="A24" s="39" t="inlineStr">
        <is>
          <t>V2.1   Ratings tab refreshed from Crypto Analysis V6.1: GRASS added to the ratings list (60.9, Average/Decent; not held); ETH last-evaluated date corrected to 2026-10-07. Minor: no holdings or calculations changed.</t>
        </is>
      </c>
    </row>
    <row r="25" ht="47" customHeight="1">
      <c r="A25" s="39" t="inlineStr">
        <is>
          <t>V2   Ratings from the Crypto Analysis system: new Ratings tab (scores and tiers copied from Crypto Analysis V6, with a Rated as column); Portfolio gains Rating tier and Rating score columns (K, L); Summary gains a value-by-tier table and the value-weighted score. Major: new tab and columns; no existing calculation changed.</t>
        </is>
      </c>
    </row>
    <row r="26" ht="16" customHeight="1">
      <c r="A26" s="39" t="inlineStr">
        <is>
          <t>V1.4.1   Coinbase USDC set to 0 (quantity and cost): Coinbase history shows no USDC. Tiny fix: no other changes.</t>
        </is>
      </c>
    </row>
    <row r="27" ht="78" customHeight="1">
      <c r="A27" s="39" t="inlineStr">
        <is>
          <t>V1.4   Costs filled in from Coinbase, Kraken and Ledger Live history (rewards, staking and gifts at $0; coins from a convert at their value on the day; LTC, HBAR, AVAX/SAVAX, LINK, PAXG, NEAR and ENA estimated at $20 each). XLM corrected to 176.44 (125.08 added from Kraken). Added Ledger HYPE, ONDO and QNT; ONDO and QNT added to Prices. Coinbase staking dust relabelled ETH (was STETH). Bank cash cost = $50. Minor: no column, tab or calculation changes.</t>
        </is>
      </c>
    </row>
    <row r="28" ht="47" customHeight="1">
      <c r="A28" s="39" t="inlineStr">
        <is>
          <t>V1.3   Summary chart changed from bars to a pie (Allocation by coin): coins worth 3% or more of the total get their own slice, largest first; smaller ones are grouped as Other. Hidden helper columns AA:AF on Summary feed it (AF5 = the 3% grouping level). Minor: no changes to holdings or totals.</t>
        </is>
      </c>
    </row>
    <row r="29" ht="47" customHeight="1">
      <c r="A29" s="39" t="inlineStr">
        <is>
          <t>V1.2   Layout clean-up: no text running into or hidden behind other cells. Top cards on Portfolio fit the table width (Prices as of moved into the status line under them); taller wrapped headers; Prices settings rows tidied, raw CoinGecko reply row and helper column hidden; Summary note under the location table reworded so it no longer covers its total. Minor: no calculation changes.</t>
        </is>
      </c>
    </row>
    <row r="30" ht="32" customHeight="1">
      <c r="A30" s="39" t="inlineStr">
        <is>
          <t>V1.1   Refresh Prices button on Prices (runs a one-line recalculate macro); file is now .xlsm. Minor: no calculation, column or tab changes.</t>
        </is>
      </c>
    </row>
    <row r="31" ht="47" customHeight="1">
      <c r="A31" s="39" t="inlineStr">
        <is>
          <t>V1   New file. Rebuilt from the old Crypto Portfolio Tracker: one row per holding, live CoinGecko prices with manual fallback and price timestamps, total cost per holding with unrealized P&amp;L and return, summaries by coin and location with chart. LTC named (was a blank row at $55.45); HYPE now linked like every other coin.</t>
        </is>
      </c>
    </row>
  </sheetData>
  <pageMargins left="0.75" right="0.75" top="1" bottom="1" header="0.5" footer="0.5"/>
  <pageSetup orientation="landscape" fitToHeight="0" fitToWidth="1"/>
</worksheet>
</file>

<file path=xl/worksheets/sheet5.xml><?xml version="1.0" encoding="utf-8"?>
<worksheet xmlns="http://schemas.openxmlformats.org/spreadsheetml/2006/main" xmlns:r="http://schemas.openxmlformats.org/officeDocument/2006/relationships">
  <sheetPr>
    <pageSetUpPr fitToPage="1"/>
  </sheetPr>
  <dimension ref="A1:N43"/>
  <sheetViews>
    <sheetView workbookViewId="0">
      <pane ySplit="5" topLeftCell="A6" activePane="bottomLeft" state="frozen"/>
      <selection pane="bottomLeft" activeCell="B6" sqref="B6"/>
    </sheetView>
  </sheetViews>
  <sheetFormatPr baseColWidth="8" defaultRowHeight="15"/>
  <cols>
    <col min="1" max="1" width="9" customWidth="1"/>
    <col min="2" max="2" width="10" customWidth="1"/>
    <col min="3" max="3" width="8" customWidth="1"/>
    <col min="4" max="4" width="16" customWidth="1"/>
    <col min="5" max="5" width="10" customWidth="1"/>
    <col min="6" max="6" width="13" customWidth="1"/>
    <col min="7" max="7" width="12" customWidth="1"/>
    <col min="8" max="8" width="13" customWidth="1" hidden="1"/>
    <col min="9" max="9" width="3" customWidth="1"/>
    <col min="10" max="10" width="9" customWidth="1"/>
    <col min="11" max="11" width="8" customWidth="1"/>
    <col min="12" max="12" width="16" customWidth="1"/>
    <col min="13" max="13" width="10" customWidth="1"/>
    <col min="14" max="14" width="13" customWidth="1"/>
  </cols>
  <sheetData>
    <row r="1">
      <c r="A1" s="1" t="inlineStr">
        <is>
          <t xml:space="preserve">Ratings</t>
        </is>
      </c>
    </row>
    <row r="2" ht="30" customHeight="1">
      <c r="A2" s="2" t="inlineStr">
        <is>
          <t xml:space="preserve">Scores and tiers from the Crypto Analysis workbook, copied (not linked). Copied from: Crypto Analysis V6.1, data as of 2026-10-07. Ask Claude to refresh this tab when the ratings change.</t>
        </is>
      </c>
    </row>
    <row r="3" ht="30" customHeight="1">
      <c r="A3" s="2" t="inlineStr">
        <is>
          <t xml:space="preserve">Rated as: leave blank to use the coin's own rating; type another ticker to borrow its rating (STETH uses ETH, SAVAX uses AVAX); type none for no rating (Cash). Scores and tiers only: not financial advice, and ratings do not predict price.</t>
        </is>
      </c>
    </row>
    <row r="5" ht="30" customHeight="1">
      <c r="A5" s="10" t="inlineStr">
        <is>
          <t xml:space="preserve">Coin</t>
        </is>
      </c>
      <c r="B5" s="10" t="inlineStr">
        <is>
          <t xml:space="preserve">Rated as</t>
        </is>
      </c>
      <c r="C5" s="10" t="inlineStr">
        <is>
          <t xml:space="preserve">Score</t>
        </is>
      </c>
      <c r="D5" s="10" t="inlineStr">
        <is>
          <t xml:space="preserve">Tier</t>
        </is>
      </c>
      <c r="E5" s="10" t="inlineStr">
        <is>
          <t xml:space="preserve">Coverage</t>
        </is>
      </c>
      <c r="F5" s="10" t="inlineStr">
        <is>
          <t xml:space="preserve">Last evaluated</t>
        </is>
      </c>
      <c r="G5" s="10" t="inlineStr">
        <is>
          <t xml:space="preserve">Value ($)</t>
        </is>
      </c>
      <c r="H5" s="10" t="inlineStr">
        <is>
          <t xml:space="preserve">Value × score</t>
        </is>
      </c>
      <c r="J5" s="10" t="inlineStr">
        <is>
          <t xml:space="preserve">Ticker</t>
        </is>
      </c>
      <c r="K5" s="10" t="inlineStr">
        <is>
          <t xml:space="preserve">Score</t>
        </is>
      </c>
      <c r="L5" s="10" t="inlineStr">
        <is>
          <t xml:space="preserve">Tier</t>
        </is>
      </c>
      <c r="M5" s="10" t="inlineStr">
        <is>
          <t xml:space="preserve">Coverage</t>
        </is>
      </c>
      <c r="N5" s="10" t="inlineStr">
        <is>
          <t xml:space="preserve">Last evaluated</t>
        </is>
      </c>
    </row>
    <row r="6">
      <c r="A6" s="22">
        <f>IF(Prices!$A$8="","",Prices!$A$8)</f>
        <v/>
      </c>
      <c r="B6" s="11" t="inlineStr">
        <is>
          <t xml:space="preserve">none</t>
        </is>
      </c>
      <c r="C6" s="41">
        <f>IF(OR(A6="",B6="none"),"",IFERROR(INDEX($K$6:$K$80,MATCH(IF(B6="",A6,B6),$J$6:$J$80,0)),""))</f>
        <v/>
      </c>
      <c r="D6" s="22">
        <f>IF(A6="","",IF(B6="none","-",IFERROR(INDEX($L$6:$L$80,MATCH(IF(B6="",A6,B6),$J$6:$J$80,0)),"Not rated")))</f>
        <v/>
      </c>
      <c r="E6" s="17">
        <f>IF(OR(A6="",B6="none"),"",IFERROR(INDEX($M$6:$M$80,MATCH(IF(B6="",A6,B6),$J$6:$J$80,0)),""))</f>
        <v/>
      </c>
      <c r="F6" s="43">
        <f>IF(OR(A6="",B6="none"),"",IFERROR(INDEX($N$6:$N$80,MATCH(IF(B6="",A6,B6),$J$6:$J$80,0)),""))</f>
        <v/>
      </c>
      <c r="G6" s="16">
        <f>IF(A6="","",SUMIFS(Portfolio!$G$10:$G$69,Portfolio!$B$10:$B$69,A6))</f>
        <v/>
      </c>
      <c r="H6" s="16">
        <f>IF(AND(ISNUMBER(C6),ISNUMBER(G6)),C6*G6,0)</f>
        <v/>
      </c>
      <c r="J6" s="22" t="inlineStr">
        <is>
          <t xml:space="preserve">BTC</t>
        </is>
      </c>
      <c r="K6" s="41" t="n">
        <v>90.3</v>
      </c>
      <c r="L6" s="22" t="inlineStr">
        <is>
          <t xml:space="preserve">Exceptional</t>
        </is>
      </c>
      <c r="M6" s="17" t="n">
        <v>1</v>
      </c>
      <c r="N6" s="43" t="inlineStr">
        <is>
          <t xml:space="preserve">2026-10-05</t>
        </is>
      </c>
    </row>
    <row r="7">
      <c r="A7" s="22">
        <f>IF(Prices!$A$9="","",Prices!$A$9)</f>
        <v/>
      </c>
      <c r="B7" s="11" t="n"/>
      <c r="C7" s="41">
        <f>IF(OR(A7="",B7="none"),"",IFERROR(INDEX($K$6:$K$80,MATCH(IF(B7="",A7,B7),$J$6:$J$80,0)),""))</f>
        <v/>
      </c>
      <c r="D7" s="22">
        <f>IF(A7="","",IF(B7="none","-",IFERROR(INDEX($L$6:$L$80,MATCH(IF(B7="",A7,B7),$J$6:$J$80,0)),"Not rated")))</f>
        <v/>
      </c>
      <c r="E7" s="17">
        <f>IF(OR(A7="",B7="none"),"",IFERROR(INDEX($M$6:$M$80,MATCH(IF(B7="",A7,B7),$J$6:$J$80,0)),""))</f>
        <v/>
      </c>
      <c r="F7" s="43">
        <f>IF(OR(A7="",B7="none"),"",IFERROR(INDEX($N$6:$N$80,MATCH(IF(B7="",A7,B7),$J$6:$J$80,0)),""))</f>
        <v/>
      </c>
      <c r="G7" s="16">
        <f>IF(A7="","",SUMIFS(Portfolio!$G$10:$G$69,Portfolio!$B$10:$B$69,A7))</f>
        <v/>
      </c>
      <c r="H7" s="16">
        <f>IF(AND(ISNUMBER(C7),ISNUMBER(G7)),C7*G7,0)</f>
        <v/>
      </c>
      <c r="J7" s="22" t="inlineStr">
        <is>
          <t xml:space="preserve">ETH</t>
        </is>
      </c>
      <c r="K7" s="41" t="n">
        <v>86.3</v>
      </c>
      <c r="L7" s="22" t="inlineStr">
        <is>
          <t xml:space="preserve">Strong</t>
        </is>
      </c>
      <c r="M7" s="17" t="n">
        <v>1</v>
      </c>
      <c r="N7" s="43" t="inlineStr">
        <is>
          <t xml:space="preserve">2026-10-07</t>
        </is>
      </c>
    </row>
    <row r="8">
      <c r="A8" s="22">
        <f>IF(Prices!$A$10="","",Prices!$A$10)</f>
        <v/>
      </c>
      <c r="B8" s="11" t="n"/>
      <c r="C8" s="41">
        <f>IF(OR(A8="",B8="none"),"",IFERROR(INDEX($K$6:$K$80,MATCH(IF(B8="",A8,B8),$J$6:$J$80,0)),""))</f>
        <v/>
      </c>
      <c r="D8" s="22">
        <f>IF(A8="","",IF(B8="none","-",IFERROR(INDEX($L$6:$L$80,MATCH(IF(B8="",A8,B8),$J$6:$J$80,0)),"Not rated")))</f>
        <v/>
      </c>
      <c r="E8" s="17">
        <f>IF(OR(A8="",B8="none"),"",IFERROR(INDEX($M$6:$M$80,MATCH(IF(B8="",A8,B8),$J$6:$J$80,0)),""))</f>
        <v/>
      </c>
      <c r="F8" s="43">
        <f>IF(OR(A8="",B8="none"),"",IFERROR(INDEX($N$6:$N$80,MATCH(IF(B8="",A8,B8),$J$6:$J$80,0)),""))</f>
        <v/>
      </c>
      <c r="G8" s="16">
        <f>IF(A8="","",SUMIFS(Portfolio!$G$10:$G$69,Portfolio!$B$10:$B$69,A8))</f>
        <v/>
      </c>
      <c r="H8" s="16">
        <f>IF(AND(ISNUMBER(C8),ISNUMBER(G8)),C8*G8,0)</f>
        <v/>
      </c>
      <c r="J8" s="22" t="inlineStr">
        <is>
          <t xml:space="preserve">SOL</t>
        </is>
      </c>
      <c r="K8" s="41" t="n">
        <v>80</v>
      </c>
      <c r="L8" s="22" t="inlineStr">
        <is>
          <t xml:space="preserve">Strong</t>
        </is>
      </c>
      <c r="M8" s="17" t="n">
        <v>1</v>
      </c>
      <c r="N8" s="43" t="inlineStr">
        <is>
          <t xml:space="preserve">2026-10-05</t>
        </is>
      </c>
    </row>
    <row r="9">
      <c r="A9" s="22">
        <f>IF(Prices!$A$11="","",Prices!$A$11)</f>
        <v/>
      </c>
      <c r="B9" s="11" t="n"/>
      <c r="C9" s="41">
        <f>IF(OR(A9="",B9="none"),"",IFERROR(INDEX($K$6:$K$80,MATCH(IF(B9="",A9,B9),$J$6:$J$80,0)),""))</f>
        <v/>
      </c>
      <c r="D9" s="22">
        <f>IF(A9="","",IF(B9="none","-",IFERROR(INDEX($L$6:$L$80,MATCH(IF(B9="",A9,B9),$J$6:$J$80,0)),"Not rated")))</f>
        <v/>
      </c>
      <c r="E9" s="17">
        <f>IF(OR(A9="",B9="none"),"",IFERROR(INDEX($M$6:$M$80,MATCH(IF(B9="",A9,B9),$J$6:$J$80,0)),""))</f>
        <v/>
      </c>
      <c r="F9" s="43">
        <f>IF(OR(A9="",B9="none"),"",IFERROR(INDEX($N$6:$N$80,MATCH(IF(B9="",A9,B9),$J$6:$J$80,0)),""))</f>
        <v/>
      </c>
      <c r="G9" s="16">
        <f>IF(A9="","",SUMIFS(Portfolio!$G$10:$G$69,Portfolio!$B$10:$B$69,A9))</f>
        <v/>
      </c>
      <c r="H9" s="16">
        <f>IF(AND(ISNUMBER(C9),ISNUMBER(G9)),C9*G9,0)</f>
        <v/>
      </c>
      <c r="J9" s="22" t="inlineStr">
        <is>
          <t xml:space="preserve">XRP</t>
        </is>
      </c>
      <c r="K9" s="41" t="n">
        <v>73.8</v>
      </c>
      <c r="L9" s="22" t="inlineStr">
        <is>
          <t xml:space="preserve">Average/Decent</t>
        </is>
      </c>
      <c r="M9" s="17" t="n">
        <v>1</v>
      </c>
      <c r="N9" s="43" t="inlineStr">
        <is>
          <t xml:space="preserve">2026-10-05</t>
        </is>
      </c>
    </row>
    <row r="10">
      <c r="A10" s="22">
        <f>IF(Prices!$A$12="","",Prices!$A$12)</f>
        <v/>
      </c>
      <c r="B10" s="11" t="n"/>
      <c r="C10" s="41">
        <f>IF(OR(A10="",B10="none"),"",IFERROR(INDEX($K$6:$K$80,MATCH(IF(B10="",A10,B10),$J$6:$J$80,0)),""))</f>
        <v/>
      </c>
      <c r="D10" s="22">
        <f>IF(A10="","",IF(B10="none","-",IFERROR(INDEX($L$6:$L$80,MATCH(IF(B10="",A10,B10),$J$6:$J$80,0)),"Not rated")))</f>
        <v/>
      </c>
      <c r="E10" s="17">
        <f>IF(OR(A10="",B10="none"),"",IFERROR(INDEX($M$6:$M$80,MATCH(IF(B10="",A10,B10),$J$6:$J$80,0)),""))</f>
        <v/>
      </c>
      <c r="F10" s="43">
        <f>IF(OR(A10="",B10="none"),"",IFERROR(INDEX($N$6:$N$80,MATCH(IF(B10="",A10,B10),$J$6:$J$80,0)),""))</f>
        <v/>
      </c>
      <c r="G10" s="16">
        <f>IF(A10="","",SUMIFS(Portfolio!$G$10:$G$69,Portfolio!$B$10:$B$69,A10))</f>
        <v/>
      </c>
      <c r="H10" s="16">
        <f>IF(AND(ISNUMBER(C10),ISNUMBER(G10)),C10*G10,0)</f>
        <v/>
      </c>
      <c r="J10" s="22" t="inlineStr">
        <is>
          <t xml:space="preserve">NEAR</t>
        </is>
      </c>
      <c r="K10" s="41" t="n">
        <v>73.7</v>
      </c>
      <c r="L10" s="22" t="inlineStr">
        <is>
          <t xml:space="preserve">Average/Decent</t>
        </is>
      </c>
      <c r="M10" s="17" t="n">
        <v>0.95</v>
      </c>
      <c r="N10" s="43" t="inlineStr">
        <is>
          <t xml:space="preserve">2026-10-05</t>
        </is>
      </c>
    </row>
    <row r="11">
      <c r="A11" s="22">
        <f>IF(Prices!$A$13="","",Prices!$A$13)</f>
        <v/>
      </c>
      <c r="B11" s="11" t="n"/>
      <c r="C11" s="41">
        <f>IF(OR(A11="",B11="none"),"",IFERROR(INDEX($K$6:$K$80,MATCH(IF(B11="",A11,B11),$J$6:$J$80,0)),""))</f>
        <v/>
      </c>
      <c r="D11" s="22">
        <f>IF(A11="","",IF(B11="none","-",IFERROR(INDEX($L$6:$L$80,MATCH(IF(B11="",A11,B11),$J$6:$J$80,0)),"Not rated")))</f>
        <v/>
      </c>
      <c r="E11" s="17">
        <f>IF(OR(A11="",B11="none"),"",IFERROR(INDEX($M$6:$M$80,MATCH(IF(B11="",A11,B11),$J$6:$J$80,0)),""))</f>
        <v/>
      </c>
      <c r="F11" s="43">
        <f>IF(OR(A11="",B11="none"),"",IFERROR(INDEX($N$6:$N$80,MATCH(IF(B11="",A11,B11),$J$6:$J$80,0)),""))</f>
        <v/>
      </c>
      <c r="G11" s="16">
        <f>IF(A11="","",SUMIFS(Portfolio!$G$10:$G$69,Portfolio!$B$10:$B$69,A11))</f>
        <v/>
      </c>
      <c r="H11" s="16">
        <f>IF(AND(ISNUMBER(C11),ISNUMBER(G11)),C11*G11,0)</f>
        <v/>
      </c>
      <c r="J11" s="22" t="inlineStr">
        <is>
          <t xml:space="preserve">LINK</t>
        </is>
      </c>
      <c r="K11" s="41" t="n">
        <v>75</v>
      </c>
      <c r="L11" s="22" t="inlineStr">
        <is>
          <t xml:space="preserve">Strong</t>
        </is>
      </c>
      <c r="M11" s="17" t="n">
        <v>1</v>
      </c>
      <c r="N11" s="43" t="inlineStr">
        <is>
          <t xml:space="preserve">2026-10-05</t>
        </is>
      </c>
    </row>
    <row r="12">
      <c r="A12" s="22">
        <f>IF(Prices!$A$14="","",Prices!$A$14)</f>
        <v/>
      </c>
      <c r="B12" s="11" t="n"/>
      <c r="C12" s="41">
        <f>IF(OR(A12="",B12="none"),"",IFERROR(INDEX($K$6:$K$80,MATCH(IF(B12="",A12,B12),$J$6:$J$80,0)),""))</f>
        <v/>
      </c>
      <c r="D12" s="22">
        <f>IF(A12="","",IF(B12="none","-",IFERROR(INDEX($L$6:$L$80,MATCH(IF(B12="",A12,B12),$J$6:$J$80,0)),"Not rated")))</f>
        <v/>
      </c>
      <c r="E12" s="17">
        <f>IF(OR(A12="",B12="none"),"",IFERROR(INDEX($M$6:$M$80,MATCH(IF(B12="",A12,B12),$J$6:$J$80,0)),""))</f>
        <v/>
      </c>
      <c r="F12" s="43">
        <f>IF(OR(A12="",B12="none"),"",IFERROR(INDEX($N$6:$N$80,MATCH(IF(B12="",A12,B12),$J$6:$J$80,0)),""))</f>
        <v/>
      </c>
      <c r="G12" s="16">
        <f>IF(A12="","",SUMIFS(Portfolio!$G$10:$G$69,Portfolio!$B$10:$B$69,A12))</f>
        <v/>
      </c>
      <c r="H12" s="16">
        <f>IF(AND(ISNUMBER(C12),ISNUMBER(G12)),C12*G12,0)</f>
        <v/>
      </c>
      <c r="J12" s="22" t="inlineStr">
        <is>
          <t xml:space="preserve">UNI</t>
        </is>
      </c>
      <c r="K12" s="41" t="n">
        <v>73.8</v>
      </c>
      <c r="L12" s="22" t="inlineStr">
        <is>
          <t xml:space="preserve">Average/Decent</t>
        </is>
      </c>
      <c r="M12" s="17" t="n">
        <v>1</v>
      </c>
      <c r="N12" s="43" t="inlineStr">
        <is>
          <t xml:space="preserve">2026-10-05</t>
        </is>
      </c>
    </row>
    <row r="13">
      <c r="A13" s="22">
        <f>IF(Prices!$A$15="","",Prices!$A$15)</f>
        <v/>
      </c>
      <c r="B13" s="11" t="n"/>
      <c r="C13" s="41">
        <f>IF(OR(A13="",B13="none"),"",IFERROR(INDEX($K$6:$K$80,MATCH(IF(B13="",A13,B13),$J$6:$J$80,0)),""))</f>
        <v/>
      </c>
      <c r="D13" s="22">
        <f>IF(A13="","",IF(B13="none","-",IFERROR(INDEX($L$6:$L$80,MATCH(IF(B13="",A13,B13),$J$6:$J$80,0)),"Not rated")))</f>
        <v/>
      </c>
      <c r="E13" s="17">
        <f>IF(OR(A13="",B13="none"),"",IFERROR(INDEX($M$6:$M$80,MATCH(IF(B13="",A13,B13),$J$6:$J$80,0)),""))</f>
        <v/>
      </c>
      <c r="F13" s="43">
        <f>IF(OR(A13="",B13="none"),"",IFERROR(INDEX($N$6:$N$80,MATCH(IF(B13="",A13,B13),$J$6:$J$80,0)),""))</f>
        <v/>
      </c>
      <c r="G13" s="16">
        <f>IF(A13="","",SUMIFS(Portfolio!$G$10:$G$69,Portfolio!$B$10:$B$69,A13))</f>
        <v/>
      </c>
      <c r="H13" s="16">
        <f>IF(AND(ISNUMBER(C13),ISNUMBER(G13)),C13*G13,0)</f>
        <v/>
      </c>
      <c r="J13" s="22" t="inlineStr">
        <is>
          <t xml:space="preserve">AAVE</t>
        </is>
      </c>
      <c r="K13" s="41" t="n">
        <v>78.9</v>
      </c>
      <c r="L13" s="22" t="inlineStr">
        <is>
          <t xml:space="preserve">Strong</t>
        </is>
      </c>
      <c r="M13" s="17" t="n">
        <v>0.95</v>
      </c>
      <c r="N13" s="43" t="inlineStr">
        <is>
          <t xml:space="preserve">2026-10-05</t>
        </is>
      </c>
    </row>
    <row r="14">
      <c r="A14" s="22">
        <f>IF(Prices!$A$16="","",Prices!$A$16)</f>
        <v/>
      </c>
      <c r="B14" s="11" t="inlineStr">
        <is>
          <t xml:space="preserve">ETH</t>
        </is>
      </c>
      <c r="C14" s="41">
        <f>IF(OR(A14="",B14="none"),"",IFERROR(INDEX($K$6:$K$80,MATCH(IF(B14="",A14,B14),$J$6:$J$80,0)),""))</f>
        <v/>
      </c>
      <c r="D14" s="22">
        <f>IF(A14="","",IF(B14="none","-",IFERROR(INDEX($L$6:$L$80,MATCH(IF(B14="",A14,B14),$J$6:$J$80,0)),"Not rated")))</f>
        <v/>
      </c>
      <c r="E14" s="17">
        <f>IF(OR(A14="",B14="none"),"",IFERROR(INDEX($M$6:$M$80,MATCH(IF(B14="",A14,B14),$J$6:$J$80,0)),""))</f>
        <v/>
      </c>
      <c r="F14" s="43">
        <f>IF(OR(A14="",B14="none"),"",IFERROR(INDEX($N$6:$N$80,MATCH(IF(B14="",A14,B14),$J$6:$J$80,0)),""))</f>
        <v/>
      </c>
      <c r="G14" s="16">
        <f>IF(A14="","",SUMIFS(Portfolio!$G$10:$G$69,Portfolio!$B$10:$B$69,A14))</f>
        <v/>
      </c>
      <c r="H14" s="16">
        <f>IF(AND(ISNUMBER(C14),ISNUMBER(G14)),C14*G14,0)</f>
        <v/>
      </c>
      <c r="J14" s="22" t="inlineStr">
        <is>
          <t xml:space="preserve">ONDO</t>
        </is>
      </c>
      <c r="K14" s="41" t="n">
        <v>68.8</v>
      </c>
      <c r="L14" s="22" t="inlineStr">
        <is>
          <t xml:space="preserve">Average/Decent</t>
        </is>
      </c>
      <c r="M14" s="17" t="n">
        <v>1</v>
      </c>
      <c r="N14" s="43" t="inlineStr">
        <is>
          <t xml:space="preserve">2026-10-05</t>
        </is>
      </c>
    </row>
    <row r="15">
      <c r="A15" s="22">
        <f>IF(Prices!$A$17="","",Prices!$A$17)</f>
        <v/>
      </c>
      <c r="B15" s="11" t="n"/>
      <c r="C15" s="41">
        <f>IF(OR(A15="",B15="none"),"",IFERROR(INDEX($K$6:$K$80,MATCH(IF(B15="",A15,B15),$J$6:$J$80,0)),""))</f>
        <v/>
      </c>
      <c r="D15" s="22">
        <f>IF(A15="","",IF(B15="none","-",IFERROR(INDEX($L$6:$L$80,MATCH(IF(B15="",A15,B15),$J$6:$J$80,0)),"Not rated")))</f>
        <v/>
      </c>
      <c r="E15" s="17">
        <f>IF(OR(A15="",B15="none"),"",IFERROR(INDEX($M$6:$M$80,MATCH(IF(B15="",A15,B15),$J$6:$J$80,0)),""))</f>
        <v/>
      </c>
      <c r="F15" s="43">
        <f>IF(OR(A15="",B15="none"),"",IFERROR(INDEX($N$6:$N$80,MATCH(IF(B15="",A15,B15),$J$6:$J$80,0)),""))</f>
        <v/>
      </c>
      <c r="G15" s="16">
        <f>IF(A15="","",SUMIFS(Portfolio!$G$10:$G$69,Portfolio!$B$10:$B$69,A15))</f>
        <v/>
      </c>
      <c r="H15" s="16">
        <f>IF(AND(ISNUMBER(C15),ISNUMBER(G15)),C15*G15,0)</f>
        <v/>
      </c>
      <c r="J15" s="22" t="inlineStr">
        <is>
          <t xml:space="preserve">TAO</t>
        </is>
      </c>
      <c r="K15" s="41" t="n">
        <v>68.1</v>
      </c>
      <c r="L15" s="22" t="inlineStr">
        <is>
          <t xml:space="preserve">Average/Decent</t>
        </is>
      </c>
      <c r="M15" s="17" t="n">
        <v>0.947368421052632</v>
      </c>
      <c r="N15" s="43" t="inlineStr">
        <is>
          <t xml:space="preserve">2026-10-05</t>
        </is>
      </c>
    </row>
    <row r="16">
      <c r="A16" s="22">
        <f>IF(Prices!$A$18="","",Prices!$A$18)</f>
        <v/>
      </c>
      <c r="B16" s="11" t="n"/>
      <c r="C16" s="41">
        <f>IF(OR(A16="",B16="none"),"",IFERROR(INDEX($K$6:$K$80,MATCH(IF(B16="",A16,B16),$J$6:$J$80,0)),""))</f>
        <v/>
      </c>
      <c r="D16" s="22">
        <f>IF(A16="","",IF(B16="none","-",IFERROR(INDEX($L$6:$L$80,MATCH(IF(B16="",A16,B16),$J$6:$J$80,0)),"Not rated")))</f>
        <v/>
      </c>
      <c r="E16" s="17">
        <f>IF(OR(A16="",B16="none"),"",IFERROR(INDEX($M$6:$M$80,MATCH(IF(B16="",A16,B16),$J$6:$J$80,0)),""))</f>
        <v/>
      </c>
      <c r="F16" s="43">
        <f>IF(OR(A16="",B16="none"),"",IFERROR(INDEX($N$6:$N$80,MATCH(IF(B16="",A16,B16),$J$6:$J$80,0)),""))</f>
        <v/>
      </c>
      <c r="G16" s="16">
        <f>IF(A16="","",SUMIFS(Portfolio!$G$10:$G$69,Portfolio!$B$10:$B$69,A16))</f>
        <v/>
      </c>
      <c r="H16" s="16">
        <f>IF(AND(ISNUMBER(C16),ISNUMBER(G16)),C16*G16,0)</f>
        <v/>
      </c>
      <c r="J16" s="22" t="inlineStr">
        <is>
          <t xml:space="preserve">BNB</t>
        </is>
      </c>
      <c r="K16" s="41" t="n">
        <v>71.1</v>
      </c>
      <c r="L16" s="22" t="inlineStr">
        <is>
          <t xml:space="preserve">Average/Decent</t>
        </is>
      </c>
      <c r="M16" s="17" t="n">
        <v>0.95</v>
      </c>
      <c r="N16" s="43" t="inlineStr">
        <is>
          <t xml:space="preserve">2026-10-05</t>
        </is>
      </c>
    </row>
    <row r="17">
      <c r="A17" s="22">
        <f>IF(Prices!$A$19="","",Prices!$A$19)</f>
        <v/>
      </c>
      <c r="B17" s="11" t="n"/>
      <c r="C17" s="41">
        <f>IF(OR(A17="",B17="none"),"",IFERROR(INDEX($K$6:$K$80,MATCH(IF(B17="",A17,B17),$J$6:$J$80,0)),""))</f>
        <v/>
      </c>
      <c r="D17" s="22">
        <f>IF(A17="","",IF(B17="none","-",IFERROR(INDEX($L$6:$L$80,MATCH(IF(B17="",A17,B17),$J$6:$J$80,0)),"Not rated")))</f>
        <v/>
      </c>
      <c r="E17" s="17">
        <f>IF(OR(A17="",B17="none"),"",IFERROR(INDEX($M$6:$M$80,MATCH(IF(B17="",A17,B17),$J$6:$J$80,0)),""))</f>
        <v/>
      </c>
      <c r="F17" s="43">
        <f>IF(OR(A17="",B17="none"),"",IFERROR(INDEX($N$6:$N$80,MATCH(IF(B17="",A17,B17),$J$6:$J$80,0)),""))</f>
        <v/>
      </c>
      <c r="G17" s="16">
        <f>IF(A17="","",SUMIFS(Portfolio!$G$10:$G$69,Portfolio!$B$10:$B$69,A17))</f>
        <v/>
      </c>
      <c r="H17" s="16">
        <f>IF(AND(ISNUMBER(C17),ISNUMBER(G17)),C17*G17,0)</f>
        <v/>
      </c>
      <c r="J17" s="22" t="inlineStr">
        <is>
          <t xml:space="preserve">RENDER</t>
        </is>
      </c>
      <c r="K17" s="41" t="n">
        <v>79.2</v>
      </c>
      <c r="L17" s="22" t="inlineStr">
        <is>
          <t xml:space="preserve">Strong</t>
        </is>
      </c>
      <c r="M17" s="17" t="n">
        <v>0.9</v>
      </c>
      <c r="N17" s="43" t="inlineStr">
        <is>
          <t xml:space="preserve">2026-10-05</t>
        </is>
      </c>
    </row>
    <row r="18">
      <c r="A18" s="22">
        <f>IF(Prices!$A$20="","",Prices!$A$20)</f>
        <v/>
      </c>
      <c r="B18" s="11" t="n"/>
      <c r="C18" s="41">
        <f>IF(OR(A18="",B18="none"),"",IFERROR(INDEX($K$6:$K$80,MATCH(IF(B18="",A18,B18),$J$6:$J$80,0)),""))</f>
        <v/>
      </c>
      <c r="D18" s="22">
        <f>IF(A18="","",IF(B18="none","-",IFERROR(INDEX($L$6:$L$80,MATCH(IF(B18="",A18,B18),$J$6:$J$80,0)),"Not rated")))</f>
        <v/>
      </c>
      <c r="E18" s="17">
        <f>IF(OR(A18="",B18="none"),"",IFERROR(INDEX($M$6:$M$80,MATCH(IF(B18="",A18,B18),$J$6:$J$80,0)),""))</f>
        <v/>
      </c>
      <c r="F18" s="43">
        <f>IF(OR(A18="",B18="none"),"",IFERROR(INDEX($N$6:$N$80,MATCH(IF(B18="",A18,B18),$J$6:$J$80,0)),""))</f>
        <v/>
      </c>
      <c r="G18" s="16">
        <f>IF(A18="","",SUMIFS(Portfolio!$G$10:$G$69,Portfolio!$B$10:$B$69,A18))</f>
        <v/>
      </c>
      <c r="H18" s="16">
        <f>IF(AND(ISNUMBER(C18),ISNUMBER(G18)),C18*G18,0)</f>
        <v/>
      </c>
      <c r="J18" s="22" t="inlineStr">
        <is>
          <t xml:space="preserve">SAND</t>
        </is>
      </c>
      <c r="K18" s="41" t="n">
        <v>69.1</v>
      </c>
      <c r="L18" s="22" t="inlineStr">
        <is>
          <t xml:space="preserve">Average/Decent</t>
        </is>
      </c>
      <c r="M18" s="17" t="n">
        <v>0.85</v>
      </c>
      <c r="N18" s="43" t="inlineStr">
        <is>
          <t xml:space="preserve">2026-10-05</t>
        </is>
      </c>
    </row>
    <row r="19">
      <c r="A19" s="22">
        <f>IF(Prices!$A$21="","",Prices!$A$21)</f>
        <v/>
      </c>
      <c r="B19" s="11" t="inlineStr">
        <is>
          <t xml:space="preserve">AVAX</t>
        </is>
      </c>
      <c r="C19" s="41">
        <f>IF(OR(A19="",B19="none"),"",IFERROR(INDEX($K$6:$K$80,MATCH(IF(B19="",A19,B19),$J$6:$J$80,0)),""))</f>
        <v/>
      </c>
      <c r="D19" s="22">
        <f>IF(A19="","",IF(B19="none","-",IFERROR(INDEX($L$6:$L$80,MATCH(IF(B19="",A19,B19),$J$6:$J$80,0)),"Not rated")))</f>
        <v/>
      </c>
      <c r="E19" s="17">
        <f>IF(OR(A19="",B19="none"),"",IFERROR(INDEX($M$6:$M$80,MATCH(IF(B19="",A19,B19),$J$6:$J$80,0)),""))</f>
        <v/>
      </c>
      <c r="F19" s="43">
        <f>IF(OR(A19="",B19="none"),"",IFERROR(INDEX($N$6:$N$80,MATCH(IF(B19="",A19,B19),$J$6:$J$80,0)),""))</f>
        <v/>
      </c>
      <c r="G19" s="16">
        <f>IF(A19="","",SUMIFS(Portfolio!$G$10:$G$69,Portfolio!$B$10:$B$69,A19))</f>
        <v/>
      </c>
      <c r="H19" s="16">
        <f>IF(AND(ISNUMBER(C19),ISNUMBER(G19)),C19*G19,0)</f>
        <v/>
      </c>
      <c r="J19" s="22" t="inlineStr">
        <is>
          <t xml:space="preserve">XMR</t>
        </is>
      </c>
      <c r="K19" s="41" t="n">
        <v>77.9</v>
      </c>
      <c r="L19" s="22" t="inlineStr">
        <is>
          <t xml:space="preserve">Strong</t>
        </is>
      </c>
      <c r="M19" s="17" t="n">
        <v>0.944444444444444</v>
      </c>
      <c r="N19" s="43" t="inlineStr">
        <is>
          <t xml:space="preserve">2026-10-05</t>
        </is>
      </c>
    </row>
    <row r="20">
      <c r="A20" s="22">
        <f>IF(Prices!$A$22="","",Prices!$A$22)</f>
        <v/>
      </c>
      <c r="B20" s="11" t="n"/>
      <c r="C20" s="41">
        <f>IF(OR(A20="",B20="none"),"",IFERROR(INDEX($K$6:$K$80,MATCH(IF(B20="",A20,B20),$J$6:$J$80,0)),""))</f>
        <v/>
      </c>
      <c r="D20" s="22">
        <f>IF(A20="","",IF(B20="none","-",IFERROR(INDEX($L$6:$L$80,MATCH(IF(B20="",A20,B20),$J$6:$J$80,0)),"Not rated")))</f>
        <v/>
      </c>
      <c r="E20" s="17">
        <f>IF(OR(A20="",B20="none"),"",IFERROR(INDEX($M$6:$M$80,MATCH(IF(B20="",A20,B20),$J$6:$J$80,0)),""))</f>
        <v/>
      </c>
      <c r="F20" s="43">
        <f>IF(OR(A20="",B20="none"),"",IFERROR(INDEX($N$6:$N$80,MATCH(IF(B20="",A20,B20),$J$6:$J$80,0)),""))</f>
        <v/>
      </c>
      <c r="G20" s="16">
        <f>IF(A20="","",SUMIFS(Portfolio!$G$10:$G$69,Portfolio!$B$10:$B$69,A20))</f>
        <v/>
      </c>
      <c r="H20" s="16">
        <f>IF(AND(ISNUMBER(C20),ISNUMBER(G20)),C20*G20,0)</f>
        <v/>
      </c>
      <c r="J20" s="22" t="inlineStr">
        <is>
          <t xml:space="preserve">ZEC</t>
        </is>
      </c>
      <c r="K20" s="41" t="n">
        <v>89.7</v>
      </c>
      <c r="L20" s="22" t="inlineStr">
        <is>
          <t xml:space="preserve">Average/Decent</t>
        </is>
      </c>
      <c r="M20" s="17" t="n">
        <v>0.944444444444444</v>
      </c>
      <c r="N20" s="43" t="inlineStr">
        <is>
          <t xml:space="preserve">2026-10-05</t>
        </is>
      </c>
    </row>
    <row r="21">
      <c r="A21" s="22">
        <f>IF(Prices!$A$23="","",Prices!$A$23)</f>
        <v/>
      </c>
      <c r="B21" s="11" t="n"/>
      <c r="C21" s="41">
        <f>IF(OR(A21="",B21="none"),"",IFERROR(INDEX($K$6:$K$80,MATCH(IF(B21="",A21,B21),$J$6:$J$80,0)),""))</f>
        <v/>
      </c>
      <c r="D21" s="22">
        <f>IF(A21="","",IF(B21="none","-",IFERROR(INDEX($L$6:$L$80,MATCH(IF(B21="",A21,B21),$J$6:$J$80,0)),"Not rated")))</f>
        <v/>
      </c>
      <c r="E21" s="17">
        <f>IF(OR(A21="",B21="none"),"",IFERROR(INDEX($M$6:$M$80,MATCH(IF(B21="",A21,B21),$J$6:$J$80,0)),""))</f>
        <v/>
      </c>
      <c r="F21" s="43">
        <f>IF(OR(A21="",B21="none"),"",IFERROR(INDEX($N$6:$N$80,MATCH(IF(B21="",A21,B21),$J$6:$J$80,0)),""))</f>
        <v/>
      </c>
      <c r="G21" s="16">
        <f>IF(A21="","",SUMIFS(Portfolio!$G$10:$G$69,Portfolio!$B$10:$B$69,A21))</f>
        <v/>
      </c>
      <c r="H21" s="16">
        <f>IF(AND(ISNUMBER(C21),ISNUMBER(G21)),C21*G21,0)</f>
        <v/>
      </c>
      <c r="J21" s="22" t="inlineStr">
        <is>
          <t xml:space="preserve">DOGE</t>
        </is>
      </c>
      <c r="K21" s="41" t="n">
        <v>77.9</v>
      </c>
      <c r="L21" s="22" t="inlineStr">
        <is>
          <t xml:space="preserve">Average/Decent</t>
        </is>
      </c>
      <c r="M21" s="17" t="n">
        <v>0.944444444444444</v>
      </c>
      <c r="N21" s="43" t="inlineStr">
        <is>
          <t xml:space="preserve">2026-10-05</t>
        </is>
      </c>
    </row>
    <row r="22">
      <c r="A22" s="22">
        <f>IF(Prices!$A$24="","",Prices!$A$24)</f>
        <v/>
      </c>
      <c r="B22" s="11" t="n"/>
      <c r="C22" s="41">
        <f>IF(OR(A22="",B22="none"),"",IFERROR(INDEX($K$6:$K$80,MATCH(IF(B22="",A22,B22),$J$6:$J$80,0)),""))</f>
        <v/>
      </c>
      <c r="D22" s="22">
        <f>IF(A22="","",IF(B22="none","-",IFERROR(INDEX($L$6:$L$80,MATCH(IF(B22="",A22,B22),$J$6:$J$80,0)),"Not rated")))</f>
        <v/>
      </c>
      <c r="E22" s="17">
        <f>IF(OR(A22="",B22="none"),"",IFERROR(INDEX($M$6:$M$80,MATCH(IF(B22="",A22,B22),$J$6:$J$80,0)),""))</f>
        <v/>
      </c>
      <c r="F22" s="43">
        <f>IF(OR(A22="",B22="none"),"",IFERROR(INDEX($N$6:$N$80,MATCH(IF(B22="",A22,B22),$J$6:$J$80,0)),""))</f>
        <v/>
      </c>
      <c r="G22" s="16">
        <f>IF(A22="","",SUMIFS(Portfolio!$G$10:$G$69,Portfolio!$B$10:$B$69,A22))</f>
        <v/>
      </c>
      <c r="H22" s="16">
        <f>IF(AND(ISNUMBER(C22),ISNUMBER(G22)),C22*G22,0)</f>
        <v/>
      </c>
      <c r="J22" s="22" t="inlineStr">
        <is>
          <t xml:space="preserve">SHIB</t>
        </is>
      </c>
      <c r="K22" s="41" t="n">
        <v>60.9</v>
      </c>
      <c r="L22" s="22" t="inlineStr">
        <is>
          <t xml:space="preserve">Average/Decent</t>
        </is>
      </c>
      <c r="M22" s="17" t="n">
        <v>0.888888888888889</v>
      </c>
      <c r="N22" s="43" t="inlineStr">
        <is>
          <t xml:space="preserve">2026-10-05</t>
        </is>
      </c>
    </row>
    <row r="23">
      <c r="A23" s="22">
        <f>IF(Prices!$A$25="","",Prices!$A$25)</f>
        <v/>
      </c>
      <c r="B23" s="11" t="n"/>
      <c r="C23" s="41">
        <f>IF(OR(A23="",B23="none"),"",IFERROR(INDEX($K$6:$K$80,MATCH(IF(B23="",A23,B23),$J$6:$J$80,0)),""))</f>
        <v/>
      </c>
      <c r="D23" s="22">
        <f>IF(A23="","",IF(B23="none","-",IFERROR(INDEX($L$6:$L$80,MATCH(IF(B23="",A23,B23),$J$6:$J$80,0)),"Not rated")))</f>
        <v/>
      </c>
      <c r="E23" s="17">
        <f>IF(OR(A23="",B23="none"),"",IFERROR(INDEX($M$6:$M$80,MATCH(IF(B23="",A23,B23),$J$6:$J$80,0)),""))</f>
        <v/>
      </c>
      <c r="F23" s="43">
        <f>IF(OR(A23="",B23="none"),"",IFERROR(INDEX($N$6:$N$80,MATCH(IF(B23="",A23,B23),$J$6:$J$80,0)),""))</f>
        <v/>
      </c>
      <c r="G23" s="16">
        <f>IF(A23="","",SUMIFS(Portfolio!$G$10:$G$69,Portfolio!$B$10:$B$69,A23))</f>
        <v/>
      </c>
      <c r="H23" s="16">
        <f>IF(AND(ISNUMBER(C23),ISNUMBER(G23)),C23*G23,0)</f>
        <v/>
      </c>
      <c r="J23" s="22" t="inlineStr">
        <is>
          <t xml:space="preserve">USDC</t>
        </is>
      </c>
      <c r="K23" s="41" t="n">
        <v>78.8</v>
      </c>
      <c r="L23" s="22" t="inlineStr">
        <is>
          <t xml:space="preserve">Strong</t>
        </is>
      </c>
      <c r="M23" s="17" t="n">
        <v>1</v>
      </c>
      <c r="N23" s="43" t="inlineStr">
        <is>
          <t xml:space="preserve">2026-10-05</t>
        </is>
      </c>
    </row>
    <row r="24">
      <c r="A24" s="22">
        <f>IF(Prices!$A$26="","",Prices!$A$26)</f>
        <v/>
      </c>
      <c r="B24" s="11" t="n"/>
      <c r="C24" s="41">
        <f>IF(OR(A24="",B24="none"),"",IFERROR(INDEX($K$6:$K$80,MATCH(IF(B24="",A24,B24),$J$6:$J$80,0)),""))</f>
        <v/>
      </c>
      <c r="D24" s="22">
        <f>IF(A24="","",IF(B24="none","-",IFERROR(INDEX($L$6:$L$80,MATCH(IF(B24="",A24,B24),$J$6:$J$80,0)),"Not rated")))</f>
        <v/>
      </c>
      <c r="E24" s="17">
        <f>IF(OR(A24="",B24="none"),"",IFERROR(INDEX($M$6:$M$80,MATCH(IF(B24="",A24,B24),$J$6:$J$80,0)),""))</f>
        <v/>
      </c>
      <c r="F24" s="43">
        <f>IF(OR(A24="",B24="none"),"",IFERROR(INDEX($N$6:$N$80,MATCH(IF(B24="",A24,B24),$J$6:$J$80,0)),""))</f>
        <v/>
      </c>
      <c r="G24" s="16">
        <f>IF(A24="","",SUMIFS(Portfolio!$G$10:$G$69,Portfolio!$B$10:$B$69,A24))</f>
        <v/>
      </c>
      <c r="H24" s="16">
        <f>IF(AND(ISNUMBER(C24),ISNUMBER(G24)),C24*G24,0)</f>
        <v/>
      </c>
      <c r="J24" s="22" t="inlineStr">
        <is>
          <t xml:space="preserve">USDT</t>
        </is>
      </c>
      <c r="K24" s="41" t="n">
        <v>70.8</v>
      </c>
      <c r="L24" s="22" t="inlineStr">
        <is>
          <t xml:space="preserve">Average/Decent</t>
        </is>
      </c>
      <c r="M24" s="17" t="n">
        <v>0.923076923076923</v>
      </c>
      <c r="N24" s="43" t="inlineStr">
        <is>
          <t xml:space="preserve">2026-10-05</t>
        </is>
      </c>
    </row>
    <row r="25">
      <c r="A25" s="22">
        <f>IF(Prices!$A$27="","",Prices!$A$27)</f>
        <v/>
      </c>
      <c r="B25" s="11" t="n"/>
      <c r="C25" s="41">
        <f>IF(OR(A25="",B25="none"),"",IFERROR(INDEX($K$6:$K$80,MATCH(IF(B25="",A25,B25),$J$6:$J$80,0)),""))</f>
        <v/>
      </c>
      <c r="D25" s="22">
        <f>IF(A25="","",IF(B25="none","-",IFERROR(INDEX($L$6:$L$80,MATCH(IF(B25="",A25,B25),$J$6:$J$80,0)),"Not rated")))</f>
        <v/>
      </c>
      <c r="E25" s="17">
        <f>IF(OR(A25="",B25="none"),"",IFERROR(INDEX($M$6:$M$80,MATCH(IF(B25="",A25,B25),$J$6:$J$80,0)),""))</f>
        <v/>
      </c>
      <c r="F25" s="43">
        <f>IF(OR(A25="",B25="none"),"",IFERROR(INDEX($N$6:$N$80,MATCH(IF(B25="",A25,B25),$J$6:$J$80,0)),""))</f>
        <v/>
      </c>
      <c r="G25" s="16">
        <f>IF(A25="","",SUMIFS(Portfolio!$G$10:$G$69,Portfolio!$B$10:$B$69,A25))</f>
        <v/>
      </c>
      <c r="H25" s="16">
        <f>IF(AND(ISNUMBER(C25),ISNUMBER(G25)),C25*G25,0)</f>
        <v/>
      </c>
      <c r="J25" s="22" t="inlineStr">
        <is>
          <t xml:space="preserve">LTC</t>
        </is>
      </c>
      <c r="K25" s="41" t="n">
        <v>86.8</v>
      </c>
      <c r="L25" s="22" t="inlineStr">
        <is>
          <t xml:space="preserve">Strong</t>
        </is>
      </c>
      <c r="M25" s="17" t="n">
        <v>0.944444444444444</v>
      </c>
      <c r="N25" s="43" t="inlineStr">
        <is>
          <t xml:space="preserve">2026-10-05</t>
        </is>
      </c>
    </row>
    <row r="26">
      <c r="A26" s="22">
        <f>IF(Prices!$A$28="","",Prices!$A$28)</f>
        <v/>
      </c>
      <c r="B26" s="11" t="n"/>
      <c r="C26" s="41">
        <f>IF(OR(A26="",B26="none"),"",IFERROR(INDEX($K$6:$K$80,MATCH(IF(B26="",A26,B26),$J$6:$J$80,0)),""))</f>
        <v/>
      </c>
      <c r="D26" s="22">
        <f>IF(A26="","",IF(B26="none","-",IFERROR(INDEX($L$6:$L$80,MATCH(IF(B26="",A26,B26),$J$6:$J$80,0)),"Not rated")))</f>
        <v/>
      </c>
      <c r="E26" s="17">
        <f>IF(OR(A26="",B26="none"),"",IFERROR(INDEX($M$6:$M$80,MATCH(IF(B26="",A26,B26),$J$6:$J$80,0)),""))</f>
        <v/>
      </c>
      <c r="F26" s="43">
        <f>IF(OR(A26="",B26="none"),"",IFERROR(INDEX($N$6:$N$80,MATCH(IF(B26="",A26,B26),$J$6:$J$80,0)),""))</f>
        <v/>
      </c>
      <c r="G26" s="16">
        <f>IF(A26="","",SUMIFS(Portfolio!$G$10:$G$69,Portfolio!$B$10:$B$69,A26))</f>
        <v/>
      </c>
      <c r="H26" s="16">
        <f>IF(AND(ISNUMBER(C26),ISNUMBER(G26)),C26*G26,0)</f>
        <v/>
      </c>
      <c r="J26" s="22" t="inlineStr">
        <is>
          <t xml:space="preserve">HYPE</t>
        </is>
      </c>
      <c r="K26" s="41" t="n">
        <v>60.9</v>
      </c>
      <c r="L26" s="22" t="inlineStr">
        <is>
          <t xml:space="preserve">Average/Decent</t>
        </is>
      </c>
      <c r="M26" s="17" t="n">
        <v>0.842105263157895</v>
      </c>
      <c r="N26" s="43" t="inlineStr">
        <is>
          <t xml:space="preserve">2026-10-05</t>
        </is>
      </c>
    </row>
    <row r="27">
      <c r="A27" s="22">
        <f>IF(Prices!$A$29="","",Prices!$A$29)</f>
        <v/>
      </c>
      <c r="B27" s="11" t="n"/>
      <c r="C27" s="41">
        <f>IF(OR(A27="",B27="none"),"",IFERROR(INDEX($K$6:$K$80,MATCH(IF(B27="",A27,B27),$J$6:$J$80,0)),""))</f>
        <v/>
      </c>
      <c r="D27" s="22">
        <f>IF(A27="","",IF(B27="none","-",IFERROR(INDEX($L$6:$L$80,MATCH(IF(B27="",A27,B27),$J$6:$J$80,0)),"Not rated")))</f>
        <v/>
      </c>
      <c r="E27" s="17">
        <f>IF(OR(A27="",B27="none"),"",IFERROR(INDEX($M$6:$M$80,MATCH(IF(B27="",A27,B27),$J$6:$J$80,0)),""))</f>
        <v/>
      </c>
      <c r="F27" s="43">
        <f>IF(OR(A27="",B27="none"),"",IFERROR(INDEX($N$6:$N$80,MATCH(IF(B27="",A27,B27),$J$6:$J$80,0)),""))</f>
        <v/>
      </c>
      <c r="G27" s="16">
        <f>IF(A27="","",SUMIFS(Portfolio!$G$10:$G$69,Portfolio!$B$10:$B$69,A27))</f>
        <v/>
      </c>
      <c r="H27" s="16">
        <f>IF(AND(ISNUMBER(C27),ISNUMBER(G27)),C27*G27,0)</f>
        <v/>
      </c>
      <c r="J27" s="22" t="inlineStr">
        <is>
          <t xml:space="preserve">QNT</t>
        </is>
      </c>
      <c r="K27" s="41" t="n">
        <v>76.7</v>
      </c>
      <c r="L27" s="22" t="inlineStr">
        <is>
          <t xml:space="preserve">Strong</t>
        </is>
      </c>
      <c r="M27" s="17" t="n">
        <v>0.75</v>
      </c>
      <c r="N27" s="43" t="inlineStr">
        <is>
          <t xml:space="preserve">2026-10-05</t>
        </is>
      </c>
    </row>
    <row r="28">
      <c r="A28" s="22">
        <f>IF(Prices!$A$30="","",Prices!$A$30)</f>
        <v/>
      </c>
      <c r="B28" s="11" t="n"/>
      <c r="C28" s="41">
        <f>IF(OR(A28="",B28="none"),"",IFERROR(INDEX($K$6:$K$80,MATCH(IF(B28="",A28,B28),$J$6:$J$80,0)),""))</f>
        <v/>
      </c>
      <c r="D28" s="22">
        <f>IF(A28="","",IF(B28="none","-",IFERROR(INDEX($L$6:$L$80,MATCH(IF(B28="",A28,B28),$J$6:$J$80,0)),"Not rated")))</f>
        <v/>
      </c>
      <c r="E28" s="17">
        <f>IF(OR(A28="",B28="none"),"",IFERROR(INDEX($M$6:$M$80,MATCH(IF(B28="",A28,B28),$J$6:$J$80,0)),""))</f>
        <v/>
      </c>
      <c r="F28" s="43">
        <f>IF(OR(A28="",B28="none"),"",IFERROR(INDEX($N$6:$N$80,MATCH(IF(B28="",A28,B28),$J$6:$J$80,0)),""))</f>
        <v/>
      </c>
      <c r="G28" s="16">
        <f>IF(A28="","",SUMIFS(Portfolio!$G$10:$G$69,Portfolio!$B$10:$B$69,A28))</f>
        <v/>
      </c>
      <c r="H28" s="16">
        <f>IF(AND(ISNUMBER(C28),ISNUMBER(G28)),C28*G28,0)</f>
        <v/>
      </c>
      <c r="J28" s="22" t="inlineStr">
        <is>
          <t xml:space="preserve">IMX</t>
        </is>
      </c>
      <c r="K28" s="41" t="n">
        <v>58.8</v>
      </c>
      <c r="L28" s="22" t="inlineStr">
        <is>
          <t xml:space="preserve">Weak</t>
        </is>
      </c>
      <c r="M28" s="17" t="n">
        <v>0.85</v>
      </c>
      <c r="N28" s="43" t="inlineStr">
        <is>
          <t xml:space="preserve">2026-10-05</t>
        </is>
      </c>
    </row>
    <row r="29">
      <c r="A29" s="22">
        <f>IF(Prices!$A$31="","",Prices!$A$31)</f>
        <v/>
      </c>
      <c r="B29" s="11" t="n"/>
      <c r="C29" s="41">
        <f>IF(OR(A29="",B29="none"),"",IFERROR(INDEX($K$6:$K$80,MATCH(IF(B29="",A29,B29),$J$6:$J$80,0)),""))</f>
        <v/>
      </c>
      <c r="D29" s="22">
        <f>IF(A29="","",IF(B29="none","-",IFERROR(INDEX($L$6:$L$80,MATCH(IF(B29="",A29,B29),$J$6:$J$80,0)),"Not rated")))</f>
        <v/>
      </c>
      <c r="E29" s="17">
        <f>IF(OR(A29="",B29="none"),"",IFERROR(INDEX($M$6:$M$80,MATCH(IF(B29="",A29,B29),$J$6:$J$80,0)),""))</f>
        <v/>
      </c>
      <c r="F29" s="43">
        <f>IF(OR(A29="",B29="none"),"",IFERROR(INDEX($N$6:$N$80,MATCH(IF(B29="",A29,B29),$J$6:$J$80,0)),""))</f>
        <v/>
      </c>
      <c r="G29" s="16">
        <f>IF(A29="","",SUMIFS(Portfolio!$G$10:$G$69,Portfolio!$B$10:$B$69,A29))</f>
        <v/>
      </c>
      <c r="H29" s="16">
        <f>IF(AND(ISNUMBER(C29),ISNUMBER(G29)),C29*G29,0)</f>
        <v/>
      </c>
      <c r="J29" s="22" t="inlineStr">
        <is>
          <t xml:space="preserve">PAXG</t>
        </is>
      </c>
      <c r="K29" s="41" t="n">
        <v>75</v>
      </c>
      <c r="L29" s="22" t="inlineStr">
        <is>
          <t xml:space="preserve">Strong</t>
        </is>
      </c>
      <c r="M29" s="17" t="n">
        <v>0.769230769230769</v>
      </c>
      <c r="N29" s="43" t="inlineStr">
        <is>
          <t xml:space="preserve">2026-10-05</t>
        </is>
      </c>
    </row>
    <row r="30">
      <c r="A30" s="22">
        <f>IF(Prices!$A$32="","",Prices!$A$32)</f>
        <v/>
      </c>
      <c r="B30" s="11" t="n"/>
      <c r="C30" s="41">
        <f>IF(OR(A30="",B30="none"),"",IFERROR(INDEX($K$6:$K$80,MATCH(IF(B30="",A30,B30),$J$6:$J$80,0)),""))</f>
        <v/>
      </c>
      <c r="D30" s="22">
        <f>IF(A30="","",IF(B30="none","-",IFERROR(INDEX($L$6:$L$80,MATCH(IF(B30="",A30,B30),$J$6:$J$80,0)),"Not rated")))</f>
        <v/>
      </c>
      <c r="E30" s="17">
        <f>IF(OR(A30="",B30="none"),"",IFERROR(INDEX($M$6:$M$80,MATCH(IF(B30="",A30,B30),$J$6:$J$80,0)),""))</f>
        <v/>
      </c>
      <c r="F30" s="43">
        <f>IF(OR(A30="",B30="none"),"",IFERROR(INDEX($N$6:$N$80,MATCH(IF(B30="",A30,B30),$J$6:$J$80,0)),""))</f>
        <v/>
      </c>
      <c r="G30" s="16">
        <f>IF(A30="","",SUMIFS(Portfolio!$G$10:$G$69,Portfolio!$B$10:$B$69,A30))</f>
        <v/>
      </c>
      <c r="H30" s="16">
        <f>IF(AND(ISNUMBER(C30),ISNUMBER(G30)),C30*G30,0)</f>
        <v/>
      </c>
      <c r="J30" s="22" t="inlineStr">
        <is>
          <t xml:space="preserve">RED</t>
        </is>
      </c>
      <c r="K30" s="41" t="n">
        <v>46.4</v>
      </c>
      <c r="L30" s="22" t="inlineStr">
        <is>
          <t xml:space="preserve">Weak</t>
        </is>
      </c>
      <c r="M30" s="17" t="n">
        <v>0.7</v>
      </c>
      <c r="N30" s="43" t="inlineStr">
        <is>
          <t xml:space="preserve">2026-10-05</t>
        </is>
      </c>
    </row>
    <row r="31">
      <c r="A31" s="22">
        <f>IF(Prices!$A$33="","",Prices!$A$33)</f>
        <v/>
      </c>
      <c r="B31" s="11" t="n"/>
      <c r="C31" s="41">
        <f>IF(OR(A31="",B31="none"),"",IFERROR(INDEX($K$6:$K$80,MATCH(IF(B31="",A31,B31),$J$6:$J$80,0)),""))</f>
        <v/>
      </c>
      <c r="D31" s="22">
        <f>IF(A31="","",IF(B31="none","-",IFERROR(INDEX($L$6:$L$80,MATCH(IF(B31="",A31,B31),$J$6:$J$80,0)),"Not rated")))</f>
        <v/>
      </c>
      <c r="E31" s="17">
        <f>IF(OR(A31="",B31="none"),"",IFERROR(INDEX($M$6:$M$80,MATCH(IF(B31="",A31,B31),$J$6:$J$80,0)),""))</f>
        <v/>
      </c>
      <c r="F31" s="43">
        <f>IF(OR(A31="",B31="none"),"",IFERROR(INDEX($N$6:$N$80,MATCH(IF(B31="",A31,B31),$J$6:$J$80,0)),""))</f>
        <v/>
      </c>
      <c r="G31" s="16">
        <f>IF(A31="","",SUMIFS(Portfolio!$G$10:$G$69,Portfolio!$B$10:$B$69,A31))</f>
        <v/>
      </c>
      <c r="H31" s="16">
        <f>IF(AND(ISNUMBER(C31),ISNUMBER(G31)),C31*G31,0)</f>
        <v/>
      </c>
      <c r="J31" s="22" t="inlineStr">
        <is>
          <t xml:space="preserve">FET</t>
        </is>
      </c>
      <c r="K31" s="41" t="n">
        <v>71.4</v>
      </c>
      <c r="L31" s="22" t="inlineStr">
        <is>
          <t xml:space="preserve">Average/Decent</t>
        </is>
      </c>
      <c r="M31" s="17" t="n">
        <v>0.7</v>
      </c>
      <c r="N31" s="43" t="inlineStr">
        <is>
          <t xml:space="preserve">2026-10-05</t>
        </is>
      </c>
    </row>
    <row r="32">
      <c r="A32" s="22">
        <f>IF(Prices!$A$34="","",Prices!$A$34)</f>
        <v/>
      </c>
      <c r="B32" s="11" t="n"/>
      <c r="C32" s="41">
        <f>IF(OR(A32="",B32="none"),"",IFERROR(INDEX($K$6:$K$80,MATCH(IF(B32="",A32,B32),$J$6:$J$80,0)),""))</f>
        <v/>
      </c>
      <c r="D32" s="22">
        <f>IF(A32="","",IF(B32="none","-",IFERROR(INDEX($L$6:$L$80,MATCH(IF(B32="",A32,B32),$J$6:$J$80,0)),"Not rated")))</f>
        <v/>
      </c>
      <c r="E32" s="17">
        <f>IF(OR(A32="",B32="none"),"",IFERROR(INDEX($M$6:$M$80,MATCH(IF(B32="",A32,B32),$J$6:$J$80,0)),""))</f>
        <v/>
      </c>
      <c r="F32" s="43">
        <f>IF(OR(A32="",B32="none"),"",IFERROR(INDEX($N$6:$N$80,MATCH(IF(B32="",A32,B32),$J$6:$J$80,0)),""))</f>
        <v/>
      </c>
      <c r="G32" s="16">
        <f>IF(A32="","",SUMIFS(Portfolio!$G$10:$G$69,Portfolio!$B$10:$B$69,A32))</f>
        <v/>
      </c>
      <c r="H32" s="16">
        <f>IF(AND(ISNUMBER(C32),ISNUMBER(G32)),C32*G32,0)</f>
        <v/>
      </c>
      <c r="J32" s="22" t="inlineStr">
        <is>
          <t xml:space="preserve">RAY</t>
        </is>
      </c>
      <c r="K32" s="41" t="n">
        <v>55.9</v>
      </c>
      <c r="L32" s="22" t="inlineStr">
        <is>
          <t xml:space="preserve">Weak</t>
        </is>
      </c>
      <c r="M32" s="17" t="n">
        <v>0.894736842105263</v>
      </c>
      <c r="N32" s="43" t="inlineStr">
        <is>
          <t xml:space="preserve">2026-10-05</t>
        </is>
      </c>
    </row>
    <row r="33">
      <c r="A33" s="22">
        <f>IF(Prices!$A$35="","",Prices!$A$35)</f>
        <v/>
      </c>
      <c r="B33" s="11" t="n"/>
      <c r="C33" s="41">
        <f>IF(OR(A33="",B33="none"),"",IFERROR(INDEX($K$6:$K$80,MATCH(IF(B33="",A33,B33),$J$6:$J$80,0)),""))</f>
        <v/>
      </c>
      <c r="D33" s="22">
        <f>IF(A33="","",IF(B33="none","-",IFERROR(INDEX($L$6:$L$80,MATCH(IF(B33="",A33,B33),$J$6:$J$80,0)),"Not rated")))</f>
        <v/>
      </c>
      <c r="E33" s="17">
        <f>IF(OR(A33="",B33="none"),"",IFERROR(INDEX($M$6:$M$80,MATCH(IF(B33="",A33,B33),$J$6:$J$80,0)),""))</f>
        <v/>
      </c>
      <c r="F33" s="43">
        <f>IF(OR(A33="",B33="none"),"",IFERROR(INDEX($N$6:$N$80,MATCH(IF(B33="",A33,B33),$J$6:$J$80,0)),""))</f>
        <v/>
      </c>
      <c r="G33" s="16">
        <f>IF(A33="","",SUMIFS(Portfolio!$G$10:$G$69,Portfolio!$B$10:$B$69,A33))</f>
        <v/>
      </c>
      <c r="H33" s="16">
        <f>IF(AND(ISNUMBER(C33),ISNUMBER(G33)),C33*G33,0)</f>
        <v/>
      </c>
      <c r="J33" s="22" t="inlineStr">
        <is>
          <t xml:space="preserve">NIGHT</t>
        </is>
      </c>
      <c r="K33" s="41" t="n">
        <v>70</v>
      </c>
      <c r="L33" s="22" t="inlineStr">
        <is>
          <t xml:space="preserve">Average/Decent</t>
        </is>
      </c>
      <c r="M33" s="17" t="n">
        <v>0.789473684210526</v>
      </c>
      <c r="N33" s="43" t="inlineStr">
        <is>
          <t xml:space="preserve">2026-10-05</t>
        </is>
      </c>
    </row>
    <row r="34">
      <c r="A34" s="22">
        <f>IF(Prices!$A$36="","",Prices!$A$36)</f>
        <v/>
      </c>
      <c r="B34" s="11" t="n"/>
      <c r="C34" s="41">
        <f>IF(OR(A34="",B34="none"),"",IFERROR(INDEX($K$6:$K$80,MATCH(IF(B34="",A34,B34),$J$6:$J$80,0)),""))</f>
        <v/>
      </c>
      <c r="D34" s="22">
        <f>IF(A34="","",IF(B34="none","-",IFERROR(INDEX($L$6:$L$80,MATCH(IF(B34="",A34,B34),$J$6:$J$80,0)),"Not rated")))</f>
        <v/>
      </c>
      <c r="E34" s="17">
        <f>IF(OR(A34="",B34="none"),"",IFERROR(INDEX($M$6:$M$80,MATCH(IF(B34="",A34,B34),$J$6:$J$80,0)),""))</f>
        <v/>
      </c>
      <c r="F34" s="43">
        <f>IF(OR(A34="",B34="none"),"",IFERROR(INDEX($N$6:$N$80,MATCH(IF(B34="",A34,B34),$J$6:$J$80,0)),""))</f>
        <v/>
      </c>
      <c r="G34" s="16">
        <f>IF(A34="","",SUMIFS(Portfolio!$G$10:$G$69,Portfolio!$B$10:$B$69,A34))</f>
        <v/>
      </c>
      <c r="H34" s="16">
        <f>IF(AND(ISNUMBER(C34),ISNUMBER(G34)),C34*G34,0)</f>
        <v/>
      </c>
      <c r="J34" s="22" t="inlineStr">
        <is>
          <t xml:space="preserve">POWR</t>
        </is>
      </c>
      <c r="K34" s="41" t="n">
        <v>51.7</v>
      </c>
      <c r="L34" s="22" t="inlineStr">
        <is>
          <t xml:space="preserve">Weak</t>
        </is>
      </c>
      <c r="M34" s="17" t="n">
        <v>0.75</v>
      </c>
      <c r="N34" s="43" t="inlineStr">
        <is>
          <t xml:space="preserve">2026-10-05</t>
        </is>
      </c>
    </row>
    <row r="35">
      <c r="A35" s="22">
        <f>IF(Prices!$A$37="","",Prices!$A$37)</f>
        <v/>
      </c>
      <c r="B35" s="11" t="n"/>
      <c r="C35" s="41">
        <f>IF(OR(A35="",B35="none"),"",IFERROR(INDEX($K$6:$K$80,MATCH(IF(B35="",A35,B35),$J$6:$J$80,0)),""))</f>
        <v/>
      </c>
      <c r="D35" s="22">
        <f>IF(A35="","",IF(B35="none","-",IFERROR(INDEX($L$6:$L$80,MATCH(IF(B35="",A35,B35),$J$6:$J$80,0)),"Not rated")))</f>
        <v/>
      </c>
      <c r="E35" s="17">
        <f>IF(OR(A35="",B35="none"),"",IFERROR(INDEX($M$6:$M$80,MATCH(IF(B35="",A35,B35),$J$6:$J$80,0)),""))</f>
        <v/>
      </c>
      <c r="F35" s="43">
        <f>IF(OR(A35="",B35="none"),"",IFERROR(INDEX($N$6:$N$80,MATCH(IF(B35="",A35,B35),$J$6:$J$80,0)),""))</f>
        <v/>
      </c>
      <c r="G35" s="16">
        <f>IF(A35="","",SUMIFS(Portfolio!$G$10:$G$69,Portfolio!$B$10:$B$69,A35))</f>
        <v/>
      </c>
      <c r="H35" s="16">
        <f>IF(AND(ISNUMBER(C35),ISNUMBER(G35)),C35*G35,0)</f>
        <v/>
      </c>
      <c r="J35" s="22" t="inlineStr">
        <is>
          <t xml:space="preserve">PEPE</t>
        </is>
      </c>
      <c r="K35" s="41" t="n">
        <v>71.4</v>
      </c>
      <c r="L35" s="22" t="inlineStr">
        <is>
          <t xml:space="preserve">Average/Decent</t>
        </is>
      </c>
      <c r="M35" s="17" t="n">
        <v>0.777777777777778</v>
      </c>
      <c r="N35" s="43" t="inlineStr">
        <is>
          <t xml:space="preserve">2026-10-05</t>
        </is>
      </c>
    </row>
    <row r="36">
      <c r="A36" s="22">
        <f>IF(Prices!$A$38="","",Prices!$A$38)</f>
        <v/>
      </c>
      <c r="B36" s="11" t="n"/>
      <c r="C36" s="41">
        <f>IF(OR(A36="",B36="none"),"",IFERROR(INDEX($K$6:$K$80,MATCH(IF(B36="",A36,B36),$J$6:$J$80,0)),""))</f>
        <v/>
      </c>
      <c r="D36" s="22">
        <f>IF(A36="","",IF(B36="none","-",IFERROR(INDEX($L$6:$L$80,MATCH(IF(B36="",A36,B36),$J$6:$J$80,0)),"Not rated")))</f>
        <v/>
      </c>
      <c r="E36" s="17">
        <f>IF(OR(A36="",B36="none"),"",IFERROR(INDEX($M$6:$M$80,MATCH(IF(B36="",A36,B36),$J$6:$J$80,0)),""))</f>
        <v/>
      </c>
      <c r="F36" s="43">
        <f>IF(OR(A36="",B36="none"),"",IFERROR(INDEX($N$6:$N$80,MATCH(IF(B36="",A36,B36),$J$6:$J$80,0)),""))</f>
        <v/>
      </c>
      <c r="G36" s="16">
        <f>IF(A36="","",SUMIFS(Portfolio!$G$10:$G$69,Portfolio!$B$10:$B$69,A36))</f>
        <v/>
      </c>
      <c r="H36" s="16">
        <f>IF(AND(ISNUMBER(C36),ISNUMBER(G36)),C36*G36,0)</f>
        <v/>
      </c>
      <c r="J36" s="22" t="inlineStr">
        <is>
          <t xml:space="preserve">CRO</t>
        </is>
      </c>
      <c r="K36" s="41" t="n">
        <v>47.4</v>
      </c>
      <c r="L36" s="22" t="inlineStr">
        <is>
          <t xml:space="preserve">Weak</t>
        </is>
      </c>
      <c r="M36" s="17" t="n">
        <v>0.95</v>
      </c>
      <c r="N36" s="43" t="inlineStr">
        <is>
          <t xml:space="preserve">2026-10-05</t>
        </is>
      </c>
    </row>
    <row r="37">
      <c r="A37" s="22">
        <f>IF(Prices!$A$39="","",Prices!$A$39)</f>
        <v/>
      </c>
      <c r="B37" s="11" t="n"/>
      <c r="C37" s="41">
        <f>IF(OR(A37="",B37="none"),"",IFERROR(INDEX($K$6:$K$80,MATCH(IF(B37="",A37,B37),$J$6:$J$80,0)),""))</f>
        <v/>
      </c>
      <c r="D37" s="22">
        <f>IF(A37="","",IF(B37="none","-",IFERROR(INDEX($L$6:$L$80,MATCH(IF(B37="",A37,B37),$J$6:$J$80,0)),"Not rated")))</f>
        <v/>
      </c>
      <c r="E37" s="17">
        <f>IF(OR(A37="",B37="none"),"",IFERROR(INDEX($M$6:$M$80,MATCH(IF(B37="",A37,B37),$J$6:$J$80,0)),""))</f>
        <v/>
      </c>
      <c r="F37" s="43">
        <f>IF(OR(A37="",B37="none"),"",IFERROR(INDEX($N$6:$N$80,MATCH(IF(B37="",A37,B37),$J$6:$J$80,0)),""))</f>
        <v/>
      </c>
      <c r="G37" s="16">
        <f>IF(A37="","",SUMIFS(Portfolio!$G$10:$G$69,Portfolio!$B$10:$B$69,A37))</f>
        <v/>
      </c>
      <c r="H37" s="16">
        <f>IF(AND(ISNUMBER(C37),ISNUMBER(G37)),C37*G37,0)</f>
        <v/>
      </c>
      <c r="J37" s="22" t="inlineStr">
        <is>
          <t xml:space="preserve">AVAX</t>
        </is>
      </c>
      <c r="K37" s="41" t="n">
        <v>78.9</v>
      </c>
      <c r="L37" s="22" t="inlineStr">
        <is>
          <t xml:space="preserve">Strong</t>
        </is>
      </c>
      <c r="M37" s="17" t="n">
        <v>0.95</v>
      </c>
      <c r="N37" s="43" t="inlineStr">
        <is>
          <t xml:space="preserve">2026-10-05</t>
        </is>
      </c>
    </row>
    <row r="38">
      <c r="A38" s="22">
        <f>IF(Prices!$A$40="","",Prices!$A$40)</f>
        <v/>
      </c>
      <c r="B38" s="11" t="n"/>
      <c r="C38" s="41">
        <f>IF(OR(A38="",B38="none"),"",IFERROR(INDEX($K$6:$K$80,MATCH(IF(B38="",A38,B38),$J$6:$J$80,0)),""))</f>
        <v/>
      </c>
      <c r="D38" s="22">
        <f>IF(A38="","",IF(B38="none","-",IFERROR(INDEX($L$6:$L$80,MATCH(IF(B38="",A38,B38),$J$6:$J$80,0)),"Not rated")))</f>
        <v/>
      </c>
      <c r="E38" s="17">
        <f>IF(OR(A38="",B38="none"),"",IFERROR(INDEX($M$6:$M$80,MATCH(IF(B38="",A38,B38),$J$6:$J$80,0)),""))</f>
        <v/>
      </c>
      <c r="F38" s="43">
        <f>IF(OR(A38="",B38="none"),"",IFERROR(INDEX($N$6:$N$80,MATCH(IF(B38="",A38,B38),$J$6:$J$80,0)),""))</f>
        <v/>
      </c>
      <c r="G38" s="16">
        <f>IF(A38="","",SUMIFS(Portfolio!$G$10:$G$69,Portfolio!$B$10:$B$69,A38))</f>
        <v/>
      </c>
      <c r="H38" s="16">
        <f>IF(AND(ISNUMBER(C38),ISNUMBER(G38)),C38*G38,0)</f>
        <v/>
      </c>
      <c r="J38" s="22" t="inlineStr">
        <is>
          <t xml:space="preserve">HBAR</t>
        </is>
      </c>
      <c r="K38" s="41" t="n">
        <v>72.2</v>
      </c>
      <c r="L38" s="22" t="inlineStr">
        <is>
          <t xml:space="preserve">Average/Decent</t>
        </is>
      </c>
      <c r="M38" s="17" t="n">
        <v>0.9</v>
      </c>
      <c r="N38" s="43" t="inlineStr">
        <is>
          <t xml:space="preserve">2026-10-05</t>
        </is>
      </c>
    </row>
    <row r="39">
      <c r="A39" s="22">
        <f>IF(Prices!$A$41="","",Prices!$A$41)</f>
        <v/>
      </c>
      <c r="B39" s="11" t="n"/>
      <c r="C39" s="41">
        <f>IF(OR(A39="",B39="none"),"",IFERROR(INDEX($K$6:$K$80,MATCH(IF(B39="",A39,B39),$J$6:$J$80,0)),""))</f>
        <v/>
      </c>
      <c r="D39" s="22">
        <f>IF(A39="","",IF(B39="none","-",IFERROR(INDEX($L$6:$L$80,MATCH(IF(B39="",A39,B39),$J$6:$J$80,0)),"Not rated")))</f>
        <v/>
      </c>
      <c r="E39" s="17">
        <f>IF(OR(A39="",B39="none"),"",IFERROR(INDEX($M$6:$M$80,MATCH(IF(B39="",A39,B39),$J$6:$J$80,0)),""))</f>
        <v/>
      </c>
      <c r="F39" s="43">
        <f>IF(OR(A39="",B39="none"),"",IFERROR(INDEX($N$6:$N$80,MATCH(IF(B39="",A39,B39),$J$6:$J$80,0)),""))</f>
        <v/>
      </c>
      <c r="G39" s="16">
        <f>IF(A39="","",SUMIFS(Portfolio!$G$10:$G$69,Portfolio!$B$10:$B$69,A39))</f>
        <v/>
      </c>
      <c r="H39" s="16">
        <f>IF(AND(ISNUMBER(C39),ISNUMBER(G39)),C39*G39,0)</f>
        <v/>
      </c>
      <c r="J39" s="22" t="inlineStr">
        <is>
          <t xml:space="preserve">CAKE</t>
        </is>
      </c>
      <c r="K39" s="41" t="n">
        <v>54.4</v>
      </c>
      <c r="L39" s="22" t="inlineStr">
        <is>
          <t xml:space="preserve">Weak</t>
        </is>
      </c>
      <c r="M39" s="17" t="n">
        <v>0.85</v>
      </c>
      <c r="N39" s="43" t="inlineStr">
        <is>
          <t xml:space="preserve">2026-10-05</t>
        </is>
      </c>
    </row>
    <row r="40">
      <c r="J40" s="22" t="inlineStr">
        <is>
          <t xml:space="preserve">SKY</t>
        </is>
      </c>
      <c r="K40" s="41" t="n">
        <v>64.1</v>
      </c>
      <c r="L40" s="22" t="inlineStr">
        <is>
          <t xml:space="preserve">Average/Decent</t>
        </is>
      </c>
      <c r="M40" s="17" t="n">
        <v>0.8</v>
      </c>
      <c r="N40" s="43" t="inlineStr">
        <is>
          <t xml:space="preserve">2026-10-05</t>
        </is>
      </c>
    </row>
    <row r="41">
      <c r="A41" s="18" t="inlineStr">
        <is>
          <t xml:space="preserve">Value-weighted score of rated holdings</t>
        </is>
      </c>
      <c r="G41" s="42">
        <f>IFERROR(SUM(H6:H39)/SUMIFS(G6:G39,C6:C39,"&gt;0"),"")</f>
        <v/>
      </c>
      <c r="J41" s="22" t="inlineStr">
        <is>
          <t xml:space="preserve">XLM</t>
        </is>
      </c>
      <c r="K41" s="41" t="n">
        <v>76.3</v>
      </c>
      <c r="L41" s="22" t="inlineStr">
        <is>
          <t xml:space="preserve">Strong</t>
        </is>
      </c>
      <c r="M41" s="17" t="n">
        <v>1</v>
      </c>
      <c r="N41" s="43" t="inlineStr">
        <is>
          <t xml:space="preserve">2026-10-06</t>
        </is>
      </c>
    </row>
    <row r="42">
      <c r="A42" s="9" t="inlineStr">
        <is>
          <t xml:space="preserve">Each holding's score weighted by its value. Holdings with no rating (Cash, Not rated) are left out.</t>
        </is>
      </c>
      <c r="J42" s="22" t="inlineStr">
        <is>
          <t xml:space="preserve">ENA</t>
        </is>
      </c>
      <c r="K42" s="41" t="n">
        <v>57.5</v>
      </c>
      <c r="L42" s="22" t="inlineStr">
        <is>
          <t xml:space="preserve">Weak</t>
        </is>
      </c>
      <c r="M42" s="17" t="n">
        <v>1</v>
      </c>
      <c r="N42" s="43" t="inlineStr">
        <is>
          <t xml:space="preserve">2026-10-06</t>
        </is>
      </c>
    </row>
    <row r="43">
      <c r="J43" s="22" t="inlineStr">
        <is>
          <t xml:space="preserve">GRASS</t>
        </is>
      </c>
      <c r="K43" s="41" t="n">
        <v>60.9</v>
      </c>
      <c r="L43" s="22" t="inlineStr">
        <is>
          <t xml:space="preserve">Average/Decent</t>
        </is>
      </c>
      <c r="M43" s="17" t="n">
        <v>0.8</v>
      </c>
      <c r="N43" s="43" t="inlineStr">
        <is>
          <t xml:space="preserve">2026-10-07</t>
        </is>
      </c>
    </row>
  </sheetData>
  <mergeCells count="3">
    <mergeCell ref="A2:N2"/>
    <mergeCell ref="A3:N3"/>
    <mergeCell ref="A41:F41"/>
  </mergeCells>
  <conditionalFormatting sqref="D6:D39">
    <cfRule type="expression" priority="1" dxfId="5">
      <formula>D6="Exceptional"</formula>
    </cfRule>
    <cfRule type="expression" priority="2" dxfId="6">
      <formula>D6="Strong"</formula>
    </cfRule>
    <cfRule type="expression" priority="3" dxfId="7">
      <formula>D6="Average/Decent"</formula>
    </cfRule>
    <cfRule type="expression" priority="4" dxfId="8">
      <formula>D6="Weak"</formula>
    </cfRule>
  </conditionalFormatting>
  <conditionalFormatting sqref="L6:L80">
    <cfRule type="expression" priority="5" dxfId="5">
      <formula>L6="Exceptional"</formula>
    </cfRule>
    <cfRule type="expression" priority="6" dxfId="6">
      <formula>L6="Strong"</formula>
    </cfRule>
    <cfRule type="expression" priority="7" dxfId="7">
      <formula>L6="Average/Decent"</formula>
    </cfRule>
    <cfRule type="expression" priority="8" dxfId="8">
      <formula>L6="Weak"</formula>
    </cfRule>
  </conditionalFormatting>
  <pageMargins left="0.75" right="0.75" top="1" bottom="1" header="0.5" footer="0.5"/>
  <pageSetup orientation="landscape" fitToHeight="1" fitToWidth="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2026-10-07T17:11:40Z</dcterms:created>
  <dcterms:modified xmlns:dcterms="http://purl.org/dc/terms/" xmlns:xsi="http://www.w3.org/2001/XMLSchema-instance" xsi:type="dcterms:W3CDTF">2026-10-07T17:11:40Z</dcterms:modified>
</cp:coreProperties>
</file>