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Grades" sheetId="2" state="visible" r:id="rId4"/>
    <sheet name="Schedule" sheetId="3" state="visible" r:id="rId5"/>
    <sheet name="Evidence" sheetId="4" state="visible" r:id="rId6"/>
    <sheet name="Coin notes" sheetId="5" state="visible" r:id="rId7"/>
    <sheet name="Usage method" sheetId="6" state="visible" r:id="rId8"/>
    <sheet name="Decisions" sheetId="7" state="visible" r:id="rId9"/>
    <sheet name="Change log" sheetId="8" state="visible" r:id="rId10"/>
    <sheet name="Settings" sheetId="9" state="visible" r:id="rId11"/>
  </sheets>
  <definedNames>
    <definedName function="false" hidden="true" localSheetId="7" name="_xlnm._FilterDatabase" vbProcedure="false">'Change log'!$A$3:$G$482</definedName>
    <definedName function="false" hidden="true" localSheetId="3" name="_xlnm._FilterDatabase" vbProcedure="false">Evidence!$A$3:$E$573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<sst xmlns="http://schemas.openxmlformats.org/spreadsheetml/2006/main" count="7419" uniqueCount="1520">
  <si>
    <t xml:space="preserve">CRYPTO ANALYSIS V6</t>
  </si>
  <si>
    <t xml:space="preserve">Version 7  —  8 October 2026  (file: Crypto Analysis V7). 38 coins; data as of 2026-10-07 (see Last evaluated per coin).</t>
  </si>
  <si>
    <t xml:space="preserve">What it is: a score and a tier for each coin from fifteen retrieved facts. No buy or sell calls. An analytical framework, not financial advice; ratings do not predict price.</t>
  </si>
  <si>
    <t xml:space="preserve">Sheets: Grades (the live scorer: enter grades here) | Schedule (when each coin is due for reassessment, and the 52-week calendar) | Evidence (value | source | date behind every grade) | Coin notes (what it does, biggest risk, open point) | Usage method (line 6 workings) | Decisions (every ruling made) | Change log (every change, newest first) | Settings (points, cut-offs, group rules, tiers, basket).</t>
  </si>
  <si>
    <t xml:space="preserve">Colors: blue text on yellow = you enter it. Black = calculated.</t>
  </si>
  <si>
    <t xml:space="preserve">Rules and steps: Crypto Analysis Method V7.md. Summary: crypto_analysis_summary.py. Coin report: crypto_analysis_report.py. Binder snapshot: crypto_portfolio_snapshot.py. Review schedule: crypto_review_schedule.py.</t>
  </si>
  <si>
    <t xml:space="preserve">Check after any change: Group check column shows OK for every coin, and no cell shows an error.</t>
  </si>
  <si>
    <t xml:space="preserve">VERSION LOG (newest first)</t>
  </si>
  <si>
    <t xml:space="preserve">V7   Review schedule: new Schedule tab. Coins I hold are reassessed every 13 weeks and every other coin every 26 weeks, spread so about two come due each week; a calendar file gives a Monday list. New coins and changes in holdings are placed automatically by crypto_review_schedule.py. Major: new tab; no grade, score or tier changed.</t>
  </si>
  <si>
    <t xml:space="preserve">V6.1   GRASS added (38 coins) from Lean_Scoring_Workbook_V5_2_2026-10-07_GRASS and Lean_Evidence_Table_2026-10-07_GRASS: grades, evidence, coin notes, decisions and change log. ETH Last evaluated corrected to 2026-10-07. Minor: a coin added.</t>
  </si>
  <si>
    <t xml:space="preserve">V6   Restructure: the Lean V5.2 scoring workbook and evidence table merged into one file; all 15 grades entered on one sheet (Grades); legacy 10-line sheets and columns removed; CoinGecko IDs and Last evaluated added as columns; one change log; one decisions list; four contradictory notes corrected. No grade, score or tier changed. Major: new structure.</t>
  </si>
  <si>
    <t xml:space="preserve">V5.2 and earlier: see Change log and Decisions (Lean V5.2 history).</t>
  </si>
  <si>
    <t xml:space="preserve">GRADES: one row per coin. Enter the group, cap and the 15 grades (A–E, NA, or blank) in the yellow cells; everything else is calculated.</t>
  </si>
  <si>
    <t xml:space="preserve">Blank = not retrieved (not scored, lowers coverage). NA = not applicable (removed from the denominator). Score = earned ÷ scored × 100. Below 70% coverage no tier is printed.</t>
  </si>
  <si>
    <t xml:space="preserve">Points →</t>
  </si>
  <si>
    <t xml:space="preserve">Ticker</t>
  </si>
  <si>
    <t xml:space="preserve">Name</t>
  </si>
  <si>
    <t xml:space="preserve">Group</t>
  </si>
  <si>
    <t xml:space="preserve">Score</t>
  </si>
  <si>
    <t xml:space="preserve">Rating (/10)</t>
  </si>
  <si>
    <t xml:space="preserve">Coverage</t>
  </si>
  <si>
    <t xml:space="preserve">Tier</t>
  </si>
  <si>
    <t xml:space="preserve">Cap (3 or 4)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</si>
  <si>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</si>
  <si>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</si>
  <si>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</si>
  <si>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</si>
  <si>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</si>
  <si>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</si>
  <si>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</si>
  <si>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</si>
  <si>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</si>
  <si>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</si>
  <si>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</si>
  <si>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</si>
  <si>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</si>
  <si>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</si>
  <si>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</si>
  <si>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Last evaluated</t>
  </si>
  <si>
    <t xml:space="preserve">CoinGecko ID</t>
  </si>
  <si>
    <t xml:space="preserve">Applicable</t>
  </si>
  <si>
    <t xml:space="preserve">Scored</t>
  </si>
  <si>
    <t xml:space="preserve">Earned</t>
  </si>
  <si>
    <t xml:space="preserve">Score tier #</t>
  </si>
  <si>
    <t xml:space="preserve">Final tier #</t>
  </si>
  <si>
    <t xml:space="preserve">Group check</t>
  </si>
  <si>
    <t xml:space="preserve">BTC</t>
  </si>
  <si>
    <t xml:space="preserve">Bitcoin</t>
  </si>
  <si>
    <t xml:space="preserve">Money coin</t>
  </si>
  <si>
    <t xml:space="preserve">A</t>
  </si>
  <si>
    <t xml:space="preserve">NA</t>
  </si>
  <si>
    <t xml:space="preserve">C</t>
  </si>
  <si>
    <t xml:space="preserve">B</t>
  </si>
  <si>
    <t xml:space="preserve">2026-10-05</t>
  </si>
  <si>
    <t xml:space="preserve">bitcoin</t>
  </si>
  <si>
    <t xml:space="preserve">ETH</t>
  </si>
  <si>
    <t xml:space="preserve">Ethereum</t>
  </si>
  <si>
    <t xml:space="preserve">Chain / protocol</t>
  </si>
  <si>
    <t xml:space="preserve">D</t>
  </si>
  <si>
    <t xml:space="preserve">2026-10-07</t>
  </si>
  <si>
    <t xml:space="preserve">ethereum</t>
  </si>
  <si>
    <t xml:space="preserve">SOL</t>
  </si>
  <si>
    <t xml:space="preserve">Solana</t>
  </si>
  <si>
    <t xml:space="preserve">solana</t>
  </si>
  <si>
    <t xml:space="preserve">XRP</t>
  </si>
  <si>
    <t xml:space="preserve">XRP Ledger</t>
  </si>
  <si>
    <t xml:space="preserve">ripple</t>
  </si>
  <si>
    <t xml:space="preserve">NEAR</t>
  </si>
  <si>
    <t xml:space="preserve">NEAR Protocol</t>
  </si>
  <si>
    <t xml:space="preserve">near</t>
  </si>
  <si>
    <t xml:space="preserve">LINK</t>
  </si>
  <si>
    <t xml:space="preserve">Chainlink</t>
  </si>
  <si>
    <t xml:space="preserve">E</t>
  </si>
  <si>
    <t xml:space="preserve">chainlink</t>
  </si>
  <si>
    <t xml:space="preserve">UNI</t>
  </si>
  <si>
    <t xml:space="preserve">Uniswap</t>
  </si>
  <si>
    <t xml:space="preserve">uniswap</t>
  </si>
  <si>
    <t xml:space="preserve">AAVE</t>
  </si>
  <si>
    <t xml:space="preserve">Aave</t>
  </si>
  <si>
    <t xml:space="preserve">aave</t>
  </si>
  <si>
    <t xml:space="preserve">ONDO</t>
  </si>
  <si>
    <t xml:space="preserve">Ondo</t>
  </si>
  <si>
    <t xml:space="preserve">ondo-finance</t>
  </si>
  <si>
    <t xml:space="preserve">TAO</t>
  </si>
  <si>
    <t xml:space="preserve">Bittensor</t>
  </si>
  <si>
    <t xml:space="preserve">bittensor</t>
  </si>
  <si>
    <t xml:space="preserve">BNB</t>
  </si>
  <si>
    <t xml:space="preserve">binancecoin</t>
  </si>
  <si>
    <t xml:space="preserve">RENDER</t>
  </si>
  <si>
    <t xml:space="preserve">Render</t>
  </si>
  <si>
    <t xml:space="preserve">render-token</t>
  </si>
  <si>
    <t xml:space="preserve">SAND</t>
  </si>
  <si>
    <t xml:space="preserve">The Sandbox</t>
  </si>
  <si>
    <t xml:space="preserve">the-sandbox</t>
  </si>
  <si>
    <t xml:space="preserve">XMR</t>
  </si>
  <si>
    <t xml:space="preserve">Monero</t>
  </si>
  <si>
    <t xml:space="preserve">monero</t>
  </si>
  <si>
    <t xml:space="preserve">ZEC</t>
  </si>
  <si>
    <t xml:space="preserve">Zcash</t>
  </si>
  <si>
    <t xml:space="preserve">zcash</t>
  </si>
  <si>
    <t xml:space="preserve">DOGE</t>
  </si>
  <si>
    <t xml:space="preserve">Dogecoin</t>
  </si>
  <si>
    <t xml:space="preserve">Memecoin</t>
  </si>
  <si>
    <t xml:space="preserve">dogecoin</t>
  </si>
  <si>
    <t xml:space="preserve">SHIB</t>
  </si>
  <si>
    <t xml:space="preserve">Shiba Inu</t>
  </si>
  <si>
    <t xml:space="preserve">shiba-inu</t>
  </si>
  <si>
    <t xml:space="preserve">USDC</t>
  </si>
  <si>
    <t xml:space="preserve">USD Coin</t>
  </si>
  <si>
    <t xml:space="preserve">Stablecoin / RWA</t>
  </si>
  <si>
    <t xml:space="preserve">usd-coin</t>
  </si>
  <si>
    <t xml:space="preserve">USDT</t>
  </si>
  <si>
    <t xml:space="preserve">Tether</t>
  </si>
  <si>
    <t xml:space="preserve">tether</t>
  </si>
  <si>
    <t xml:space="preserve">LTC</t>
  </si>
  <si>
    <t xml:space="preserve">Litecoin</t>
  </si>
  <si>
    <t xml:space="preserve">litecoin</t>
  </si>
  <si>
    <t xml:space="preserve">HYPE</t>
  </si>
  <si>
    <t xml:space="preserve">Hyperliquid</t>
  </si>
  <si>
    <t xml:space="preserve">hyperliquid</t>
  </si>
  <si>
    <t xml:space="preserve">QNT</t>
  </si>
  <si>
    <t xml:space="preserve">Quant</t>
  </si>
  <si>
    <t xml:space="preserve">quant-network</t>
  </si>
  <si>
    <t xml:space="preserve">IMX</t>
  </si>
  <si>
    <t xml:space="preserve">Immutable</t>
  </si>
  <si>
    <t xml:space="preserve">immutable-x</t>
  </si>
  <si>
    <t xml:space="preserve">PAXG</t>
  </si>
  <si>
    <t xml:space="preserve">PAX Gold</t>
  </si>
  <si>
    <t xml:space="preserve">pax-gold</t>
  </si>
  <si>
    <t xml:space="preserve">RED</t>
  </si>
  <si>
    <t xml:space="preserve">RedStone</t>
  </si>
  <si>
    <t xml:space="preserve">redstone-oracles</t>
  </si>
  <si>
    <t xml:space="preserve">FET</t>
  </si>
  <si>
    <t xml:space="preserve">Artificial Superintelligence Alliance</t>
  </si>
  <si>
    <t xml:space="preserve">fetch-ai</t>
  </si>
  <si>
    <t xml:space="preserve">RAY</t>
  </si>
  <si>
    <t xml:space="preserve">Raydium</t>
  </si>
  <si>
    <t xml:space="preserve">raydium</t>
  </si>
  <si>
    <t xml:space="preserve">NIGHT</t>
  </si>
  <si>
    <t xml:space="preserve">Midnight</t>
  </si>
  <si>
    <t xml:space="preserve">midnight-3</t>
  </si>
  <si>
    <t xml:space="preserve">POWR</t>
  </si>
  <si>
    <t xml:space="preserve">Powerledger</t>
  </si>
  <si>
    <t xml:space="preserve">power-ledger</t>
  </si>
  <si>
    <t xml:space="preserve">PEPE</t>
  </si>
  <si>
    <t xml:space="preserve">Pepe</t>
  </si>
  <si>
    <t xml:space="preserve">pepe</t>
  </si>
  <si>
    <t xml:space="preserve">CRO</t>
  </si>
  <si>
    <t xml:space="preserve">Cronos</t>
  </si>
  <si>
    <t xml:space="preserve">crypto-com-chain</t>
  </si>
  <si>
    <t xml:space="preserve">AVAX</t>
  </si>
  <si>
    <t xml:space="preserve">Avalanche</t>
  </si>
  <si>
    <t xml:space="preserve">avalanche-2</t>
  </si>
  <si>
    <t xml:space="preserve">HBAR</t>
  </si>
  <si>
    <t xml:space="preserve">Hedera</t>
  </si>
  <si>
    <t xml:space="preserve">hedera-hashgraph</t>
  </si>
  <si>
    <t xml:space="preserve">CAKE</t>
  </si>
  <si>
    <t xml:space="preserve">PancakeSwap</t>
  </si>
  <si>
    <t xml:space="preserve">pancakeswap-token</t>
  </si>
  <si>
    <t xml:space="preserve">SKY</t>
  </si>
  <si>
    <t xml:space="preserve">Sky</t>
  </si>
  <si>
    <t xml:space="preserve">sky</t>
  </si>
  <si>
    <t xml:space="preserve">XLM</t>
  </si>
  <si>
    <t xml:space="preserve">Stellar</t>
  </si>
  <si>
    <t xml:space="preserve">2026-10-06</t>
  </si>
  <si>
    <t xml:space="preserve">stellar</t>
  </si>
  <si>
    <t xml:space="preserve">ENA</t>
  </si>
  <si>
    <t xml:space="preserve">Ethena</t>
  </si>
  <si>
    <t xml:space="preserve">ethena</t>
  </si>
  <si>
    <t xml:space="preserve">GRASS</t>
  </si>
  <si>
    <t xml:space="preserve">Grass</t>
  </si>
  <si>
    <t xml:space="preserve">grass</t>
  </si>
  <si>
    <t xml:space="preserve">SCHEDULE: when each coin is due for reassessment</t>
  </si>
  <si>
    <t xml:space="preserve">Held coins every 13 weeks, every other coin every 26 weeks; slots are spread so about the same number comes due each week. Written by crypto_review_schedule.py: run it after any coin is added or reassessed, or after buying or selling a coin, then re-import the calendar file.</t>
  </si>
  <si>
    <t xml:space="preserve">Schedule written 2026-10-08 (week of 2026-10-05).</t>
  </si>
  <si>
    <t xml:space="preserve">CALENDAR: the next 52 weeks</t>
  </si>
  <si>
    <t xml:space="preserve">Held</t>
  </si>
  <si>
    <t xml:space="preserve">Every (weeks)</t>
  </si>
  <si>
    <t xml:space="preserve">Next review (week of)</t>
  </si>
  <si>
    <t xml:space="preserve">Status</t>
  </si>
  <si>
    <t xml:space="preserve">Last evaluated when scheduled</t>
  </si>
  <si>
    <t xml:space="preserve">Week of (Monday)</t>
  </si>
  <si>
    <t xml:space="preserve">Coins I hold (quarterly)</t>
  </si>
  <si>
    <t xml:space="preserve">Other coins (twice a year)</t>
  </si>
  <si>
    <t xml:space="preserve">Count</t>
  </si>
  <si>
    <t xml:space="preserve">yes</t>
  </si>
  <si>
    <t xml:space="preserve">BTC, ENA</t>
  </si>
  <si>
    <t xml:space="preserve">no</t>
  </si>
  <si>
    <t xml:space="preserve">EVIDENCE: one row per coin per line, written as value | source | date. The Grades sheet holds the grades; if the two ever disagree, Grades wins.</t>
  </si>
  <si>
    <t xml:space="preserve">Line</t>
  </si>
  <si>
    <t xml:space="preserve">Line name</t>
  </si>
  <si>
    <t xml:space="preserve">Grade</t>
  </si>
  <si>
    <t xml:space="preserve">Evidence (value | source | date)</t>
  </si>
  <si>
    <t xml:space="preserve">Supply dilution (MC / FDV)</t>
  </si>
  <si>
    <t xml:space="preserve">MC/FDV 0.957 (market cap $1.721T ÷ FDV on max supply $1.798T) | TradingView; CoinGecko FDV on total supply gives 1.00 (also A) | 2026-10-05</t>
  </si>
  <si>
    <t xml:space="preserve">New supply, next 90 days (% of circulating)</t>
  </si>
  <si>
    <t xml:space="preserve">Scheduled issuance 3.125 BTC x 144 blocks x 90 days = 40,500 BTC = 0.20% of 20.094M circulating; realized 90-day supply growth 0.20% (matches) | CoinGecko history | 2026-10-05</t>
  </si>
  <si>
    <t xml:space="preserve">Insider share (team, investors, foundation)</t>
  </si>
  <si>
    <t xml:space="preserve">Fair launch, no premine, no investor allocation (protocol design). DropsTab and Tokenomist pages loaded but returned no extractable BTC raise or vesting data | 2026-10-05</t>
  </si>
  <si>
    <t xml:space="preserve">Holder value capture (fees burned, bought back, paid out)</t>
  </si>
  <si>
    <t xml:space="preserve">Not applicable for money coins (no fee-capture mechanism)</t>
  </si>
  <si>
    <t xml:space="preserve">US exit liquidity (2% depth ÷ $100K)</t>
  </si>
  <si>
    <t xml:space="preserve">At least 555x: bid depth within 2% of at least $55.5M (Coinbase $28.9M, Kraken $24.5M, Binance.US $2.0M; USD and USDT pairs). Lower bound: Kraken USD book did not reach the 2% mark within 500 levels. Earlier snapshot showed 930x; both A | Live order books | 2026-10-05</t>
  </si>
  <si>
    <t xml:space="preserve">Usage trend (90-day)</t>
  </si>
  <si>
    <t xml:space="preserve">Lower of fees (USD) +20.9% [A] and fees in native token -6.9% [C] (borderline †, within 5 pts of the D cut-off). 30-day averages 90 days apart; low-confidence fee series (~$240K/day) | DefiLlama + CoinGecko | 2026-10-05</t>
  </si>
  <si>
    <t xml:space="preserve">Social sentiment</t>
  </si>
  <si>
    <t xml:space="preserve">TradingView sentiment 73 (step D) | Galaxy Score 65.6 (step B) | mean of steps = C | TradingView | 2026-10-05</t>
  </si>
  <si>
    <t xml:space="preserve">Incident record (24 months)</t>
  </si>
  <si>
    <t xml:space="preserve">Graded on the coin's own direct loss (standing decision; confirmed 2026-10-05). No Bitcoin network exploit, halt or loss found in 24 months. CVE-2024-52911 (Bitcoin Core memory-safety bug, fixed in v29.0 Apr 2025, disclosed May 2026): no consensus impact, no exploitation, no loss. FOR CONTEXT ONLY, NOT GRADED (third-party incidents involving BTC, DefiLlama chain = Bitcoin): Coldcard hardware wallet, 30 Jul-3 Aug 2026, ~1,816 BTC (~$116M), firmware seed-generation flaw; Duelbits 24 Sep 2026 $7.0M; RRWallet 6 Aug 2026 $2.0M; TeleSwap 15 Jul 2026 $0.7M; THORChain DEX 15 May 2026 $10.7M; Bisq 1 May 2026 $0.55M; Trust Wallet 25 Dec 2025 $8.5M; SBI Crypto 24 Sep 2025 $21M; BigONE 16 Jul 2025 $27M; WOO X 24 Jul 2025 $14M; Nobitex 18 Jun 2025 $82M; Phemex 23 Jan 2025 $85M; M2 Exchange 31 Oct 2024 $13.7M. False positive: 'Bitcoin Mission' $1.3M Apr 2025 (an Arbitrum DeFi site). If third-party losses were counted, the Coldcard loss would also raise a 90-day incident flag; they are not counted. | DefiLlama /hacks (name and chain), TRM Labs, The Block | 2026-10-05</t>
  </si>
  <si>
    <t xml:space="preserve">US regulatory status</t>
  </si>
  <si>
    <t xml:space="preserve">ETF-approved (spot BTC ETFs, SEC, Jan 2024) | CFTC commodity treatment | no enforcement found. A reported SEC/CFTC 'digital commodity' interpretation of 17 Mar 2026 rests on one secondary source and is not relied on | web search | 2026-10-05</t>
  </si>
  <si>
    <t xml:space="preserve">Admin control</t>
  </si>
  <si>
    <t xml:space="preserve">No admin, mint or upgrade key (protocol design); no admin path | 2026-10-05</t>
  </si>
  <si>
    <t xml:space="preserve">Purpose: use beyond trading in a live product</t>
  </si>
  <si>
    <t xml:space="preserve">Yes: DefiLlama Bitcoin chain fees $196K on 2026-10-04; 30-day average $240K a day | DefiLlama | 2026-10-05</t>
  </si>
  <si>
    <t xml:space="preserve">Backers: raised from outside investors</t>
  </si>
  <si>
    <t xml:space="preserve">No raise recorded (fair launch, money coin, memecoin or stablecoin): not applicable</t>
  </si>
  <si>
    <t xml:space="preserve">Adoption: production use by government or major company</t>
  </si>
  <si>
    <t xml:space="preserve">YES: US government holds an estimated 328K BTC (~$28.6B, Mar 2026); Strategic Bitcoin Reserve created by Executive Order 14233, 6 Mar 2025. Funded from seizures; no purchases yet. Counted as documented government holding (user decision 2026-10-05; grade stays A) | bit.com, blockeden.xyz, The Block | 2026-10-05</t>
  </si>
  <si>
    <t xml:space="preserve">Size: market cap</t>
  </si>
  <si>
    <t xml:space="preserve">market cap $1719.75B | CoinGecko | 2026-10-05</t>
  </si>
  <si>
    <t xml:space="preserve">Market-share trend (90-day dominance)</t>
  </si>
  <si>
    <t xml:space="preserve">market cap +35.4% over 90 days (2026-07-07 to 2026-10-05); top-20 basket +32.7% (recomputed); relative +2.0% (borderline †, within 5 pts of the B/C cut-off) | CoinGecko history | 2026-10-05</t>
  </si>
  <si>
    <t xml:space="preserve">MC/FDV 1.00 (market cap $329.4B = FDV; no max supply) | CoinGecko API; DropsTab (FDV = market cap) | 2026-10-06. TradingView FDV not retrieved (429); no alternative reading differs.</t>
  </si>
  <si>
    <t xml:space="preserve">Net supply +0.215% over 90 days (121,844,832 ETH on 2026-07-08 to 122,106,290 on 2026-10-07 00:16 UTC); protocol issuance ~1.08M ETH a year (~0.22% per 90 days). PROXY: realized on-chain growth, no unlock schedule. CoinGecko circulating history implies +1.18% (would be B) but looks like a data artifact; on-chain series used | ultrasound.money API | 2026-10-06</t>
  </si>
  <si>
    <t xml:space="preserve">Early Contributor &amp; Foundation 8.87% of supply (A, &lt;=15%). Counted: genesis allocation to early contributors and the Ethereum Foundation (~12M of the 72M genesis ETH: 3M Foundation endowment, 6M to 85 contributors, 3M developer purchase program). Not counted: ICO participants 44.31% (public crowdsale buyers, not insiders), PoW rewards 37.16%, staking rewards 9.66%. If ICO buyers were counted insiders would be 53.2% (E). User decision 2026-10-06: A | Tokenomist; The Block; Galaxy | 2026-10-06</t>
  </si>
  <si>
    <t xml:space="preserve">32.4% of base-layer fees burned: holders revenue $5.45M ÷ fees $16.82M, 30 days to 2026-10-06 (fees above $1M, no cap). The all-apps chain aggregate (overview/fees/ethereum) gives 6.3% ($21.9M of $345.5M, D); base-layer series used, as in the earlier 31.9% | DefiLlama /summary/fees/ethereum | 2026-10-06</t>
  </si>
  <si>
    <t xml:space="preserve">276.6x: 2% bid depth $27.66M = Coinbase ETH-USD $12.66M + Kraken ETHUSD $13.57M (500 levels) + Binance.US ETHUSD $0.76M + ETHUSDT $0.66M (mid ~$2,698.6; 2% mark reached on all four books). One-day snapshot (540.9x on 2026-10-05) | Exchange order-book APIs, snapshot 2026-10-07 00:1x UTC | 2026-10-06</t>
  </si>
  <si>
    <t xml:space="preserve">Price-free: stablecoin supply on Ethereum $152.39B to $147.30B = -3.3% [C]. Native-token: chain TVL $39.39B to $54.11B (+37.4%) ÷ ETH price $1,771 to $2,710 (daily points) = -10.2% [D]; against the live price -9.9% [C], and -9.5% to -10.6% across neighbouring days. Lower of the two = D. Borderline † (within 5 pts of the -10% cut-off) | DefiLlama stablecoins and chain TVL; CoinGecko history | 2026-10-06</t>
  </si>
  <si>
    <t xml:space="preserve">TradingView sentiment 80% (step B) and Galaxy Score 45 (step D), supplied by the user 2026-10-06; mean of steps = C (no half step). Claude's four TradingView attempts returned 429. CoinGecko votes 81.1% bullish for context only. One-day snapshot (stored 2026-10-05: 79% / 62.3, C) | TradingView via user; CoinGecko API | 2026-10-06</t>
  </si>
  <si>
    <t xml:space="preserve">No direct loss of ETH in 24 months. DefiLlama /hacks has no entry named Ethereum; 47 entries list the Ethereum chain, all apps, exchanges, wallets or bridges (e.g. Bybit $1.4B Feb 2025, Kelp $293M Apr 2026, Balancer V2 $128M Nov 2025, Bitget Sep 2026), listed for context, not graded. Verus-Ethereum Bridge is a Verus-chain bridge (false positive). Protocol context, no funds lost: Prysm v7.0.0 bug after the Fusaka upgrade (3 Dec 2025) briefly delayed finality; blocks continued | DefiLlama /hacks; news (low-quality reposts) | 2026-10-06</t>
  </si>
  <si>
    <t xml:space="preserve">Spot ETH ETFs approved (Jul 2024); staking ETFs live (Grayscale Oct 2025, BlackRock ETHB Mar 2026); SEC/CFTC joint interpretive release of 2026-03-17 names ETH among 16 digital commodities; no SEC/CFTC/DOJ enforcement against ETH found. Sources are mostly secondary (crypto media, law-firm notes); Coinbase asset tag not retrieved | Web searches | 2026-10-06</t>
  </si>
  <si>
    <t xml:space="preserve">No admin, mint or upgrade key. Protocol changes are made off-chain through the EIP process and client-team rough consensus (not token voting); the Ethereum Foundation does not control upgrades. Judgment: social-layer concentration among client teams is not an admin path | ethereum.org governance; EIP process write-ups | 2026-10-06</t>
  </si>
  <si>
    <t xml:space="preserve">Yes: native gas and staking asset of a live network. DefiLlama Ethereum chain fees $345.5M and base-layer fees $16.8M (30 days); chain TVL $54.1B | DefiLlama | 2026-10-06</t>
  </si>
  <si>
    <t xml:space="preserve">$18.66M raised in the 2014 public ICO (60M ETH at ~$0.31; ~31,591 BTC); DropsTab lists no named investors, no lock-up. C ($5M to &lt;$25M). User decision 2026-10-06: a public crowdsale counts, as for QNT's token sales. Tokenomist shows $0 (it tracks VC rounds and vested allocations). Changed from NA | DropsTab fundraising page | 2026-10-06</t>
  </si>
  <si>
    <t xml:space="preserve">JPMorgan Asset Management runs two tokenized money market funds on public Ethereum: MONY (launched 15 Dec 2025, qualified investors) and JLTXX (13 May 2026), about $800M combined by early Jul 2026; BlackRock BUIDL, Franklin Templeton and Fidelity also on-chain. Counted as production use of the network, not a holding of ETH (as for SOL, LINK, XLM) | Crypto Briefing; Unchained; The Next Web | 2026-10-06</t>
  </si>
  <si>
    <t xml:space="preserve">Market cap $329.4B | CoinGecko API | 2026-10-06</t>
  </si>
  <si>
    <t xml:space="preserve">Market cap $213.8B (2026-07-08) to $331.0B (2026-10-06) = +54.8% vs top-20 basket +33.1% (recomputed 2026-10-06 from the 20 coins in share_cfg.json; ETH is a basket member); relative +16.3%, 6 points above the A cut-off | CoinGecko history; share_cfg.json | 2026-10-06</t>
  </si>
  <si>
    <t xml:space="preserve">MC/FDV 0.93</t>
  </si>
  <si>
    <t xml:space="preserve">Gross issuance ~4.3% a year ≈ 1.1% per 90 days</t>
  </si>
  <si>
    <t xml:space="preserve">Insiders ~40–50% at launch; vesting largely complete</t>
  </si>
  <si>
    <t xml:space="preserve">11.5% of fees burned | DefiLlama 30-day fees vs holders revenue</t>
  </si>
  <si>
    <t xml:space="preserve">220.6x ($22.06M within 2%, Coinbase+Kraken+Binance.US) | Live order books 2026-10-05</t>
  </si>
  <si>
    <t xml:space="preserve">90-day TVL in native token terms -11.7% (dollar TVL +31.1%): price-neutral re-score | DefiLlama TVL ÷ CoinGecko token price, 2026-10-05</t>
  </si>
  <si>
    <t xml:space="preserve">Sentiment 84% | Galaxy 66.8</t>
  </si>
  <si>
    <t xml:space="preserve">6 yrs live | no outage in 30 months | no loss &gt;$10M found in 24 mo</t>
  </si>
  <si>
    <t xml:space="preserve">Spot ETFs approved | no enforcement | legacy SEC naming dismissed</t>
  </si>
  <si>
    <t xml:space="preserve">No admin path</t>
  </si>
  <si>
    <t xml:space="preserve">Yes: native fee/gas asset, DefiLlama chain fees and TVL retrieved 2026-10-05.</t>
  </si>
  <si>
    <t xml:space="preserve">Raised $359.7M (Tokenomist 2026-10-05)</t>
  </si>
  <si>
    <t xml:space="preserve">YES: Visa settles USDC on Solana ($3.5B+ annualised), PayPal PYUSD, Fiserv FIUSD, Western Union USDPT (Messari data via mexc/Blockonomi, Feb-Mar 2026).</t>
  </si>
  <si>
    <t xml:space="preserve">market cap $71.17B | CoinGecko</t>
  </si>
  <si>
    <t xml:space="preserve">market cap +52% over 90 days; relative to top-20 basket +14% | CoinGecko history</t>
  </si>
  <si>
    <t xml:space="preserve">MC/FDV 0.63</t>
  </si>
  <si>
    <t xml:space="preserve">3B escrow unlock in 90 days = 4.8% of circulating (mostly re-escrowed)</t>
  </si>
  <si>
    <t xml:space="preserve">Ripple holds ~37% (escrow plus wallets)</t>
  </si>
  <si>
    <t xml:space="preserve">100% of fees destroyed, but under $1M a month (capped at Adequate)</t>
  </si>
  <si>
    <t xml:space="preserve">169.3x ($16.93M within 2%, Coinbase+Kraken+Binance.US) | Live order books 2026-10-05</t>
  </si>
  <si>
    <t xml:space="preserve">90-day TVL in native token terms -13.8% (dollar TVL +14.5%): price-neutral re-score | DefiLlama TVL ÷ CoinGecko token price, 2026-10-05</t>
  </si>
  <si>
    <t xml:space="preserve">Sentiment 81% | Galaxy 71.1</t>
  </si>
  <si>
    <t xml:space="preserve">xrpl.js supply-chain compromise (Apr-25), within 24 months</t>
  </si>
  <si>
    <t xml:space="preserve">SEC case ended 2025 | 7 spot ETFs | no enforcement</t>
  </si>
  <si>
    <t xml:space="preserve">Default validator list curated by Ripple/XRPL Foundation is an admin path (P6b)</t>
  </si>
  <si>
    <t xml:space="preserve">$790.5M: Ripple Labs equity rounds (2025 $500M, Series C $200M, B $55M, A $32M, seed $3.5M); company-level counts by user decision | dropstab.com 2026-10-05</t>
  </si>
  <si>
    <t xml:space="preserve">YES (weak): SBI and some banks use Ripple On-Demand Liquidity (XRP as bridge); BBVA, DBS, DZ Bank, Intesa live on Ripple Custody. Most bank use is Ripple software, not XRP. Sources are crypto media.</t>
  </si>
  <si>
    <t xml:space="preserve">market cap $95.34B | CoinGecko</t>
  </si>
  <si>
    <t xml:space="preserve">market cap +37% over 90 days; relative to top-20 basket +3% | CoinGecko history</t>
  </si>
  <si>
    <t xml:space="preserve">MC/FDV 1.00 (no cap)</t>
  </si>
  <si>
    <t xml:space="preserve">~0% unlock; issuance 2.5% a year</t>
  </si>
  <si>
    <t xml:space="preserve">Foundation 10% + core 14% + backers 17.6% = 41.6%</t>
  </si>
  <si>
    <t xml:space="preserve">70% to holders; capped at C (fees &lt; $1M/mo) | DefiLlama 30-day fees vs holders revenue</t>
  </si>
  <si>
    <t xml:space="preserve">39.7x ($3.97M within 2%, Coinbase+Kraken+Binance.US) | Live order books 2026-10-05</t>
  </si>
  <si>
    <t xml:space="preserve">90-day TVL in native token terms -18.9% (dollar TVL +94.3%): price-neutral re-score | DefiLlama TVL ÷ CoinGecko token price, 2026-10-05</t>
  </si>
  <si>
    <t xml:space="preserve">Sentiment 78% | Galaxy 72.5</t>
  </si>
  <si>
    <t xml:space="preserve">Intents exploit Oct 1, 2026 ($3.8M, funds reportedly returned)</t>
  </si>
  <si>
    <t xml:space="preserve">US ETF launched | no enforcement found</t>
  </si>
  <si>
    <t xml:space="preserve">Chainspect lists governance as "Council"; Intents contracts upgradeable (P6b)</t>
  </si>
  <si>
    <t xml:space="preserve">Raised $656.7M (Tokenomist 2026-10-05)</t>
  </si>
  <si>
    <t xml:space="preserve">Blank: Sweep found NEAR Intents volume and the 1 Oct exploit; no government or major-company production use found.</t>
  </si>
  <si>
    <t xml:space="preserve">market cap $6.90B | CoinGecko</t>
  </si>
  <si>
    <t xml:space="preserve">market cap +168% over 90 days; relative to top-20 basket +101% | CoinGecko history</t>
  </si>
  <si>
    <t xml:space="preserve">MC/FDV 0.75</t>
  </si>
  <si>
    <t xml:space="preserve">Circulating +2.9% Jun to Oct-26 (727.1M to 748.1M)</t>
  </si>
  <si>
    <t xml:space="preserve">65% managed by the company</t>
  </si>
  <si>
    <t xml:space="preserve">98.6% of fees to holders | DefiLlama 30-day fees vs holders revenue</t>
  </si>
  <si>
    <t xml:space="preserve">34.2x ($3.42M within 2%, Coinbase+Kraken+Binance.US) | Live order books 2026-10-05</t>
  </si>
  <si>
    <t xml:space="preserve">Excluding liquid-staking and receipt tokens (Syrup etc.): 90-day TVL in LINK terms -2.8% (-23.9% if only LSTs removed). Judgement-sensitive | DefiLlama tokensInUsd ÷ CoinGecko price, 2026-10-05</t>
  </si>
  <si>
    <t xml:space="preserve">Sentiment 78% | Galaxy 67.9</t>
  </si>
  <si>
    <t xml:space="preserve">9 yrs live | Nov-25 Moonwell feed glitch $1M | audits/bounty not re-verified</t>
  </si>
  <si>
    <t xml:space="preserve">Spot ETFs approved | no enforcement | commodity status unconfirmed</t>
  </si>
  <si>
    <t xml:space="preserve">Token contract immutable | service upgrades via Labs-run keys | time-lock U</t>
  </si>
  <si>
    <t xml:space="preserve">Yes: DefiLlama protocol fees retrieved 2026-10-05 (holder revenue for UNI, AAVE, LINK, RAY).</t>
  </si>
  <si>
    <t xml:space="preserve">Raised $32.0M (Tokenomist 2026-10-05)</t>
  </si>
  <si>
    <t xml:space="preserve">YES: DTCC production tokenized collateral workflows; UBS in-production tokenized fund workflow; US Department of Commerce macro data on-chain (Chainlink blog, Crowdfund Insider). Partly self-reported.</t>
  </si>
  <si>
    <t xml:space="preserve">market cap $10.41B | CoinGecko</t>
  </si>
  <si>
    <t xml:space="preserve">market cap +77% over 90 days; relative to top-20 basket +33% | CoinGecko history</t>
  </si>
  <si>
    <t xml:space="preserve">MC/FDV 0.70</t>
  </si>
  <si>
    <t xml:space="preserve">~0.8% per quarter from the growth budget</t>
  </si>
  <si>
    <t xml:space="preserve">Insiders ~40%; four-year vesting ended Sep-24</t>
  </si>
  <si>
    <t xml:space="preserve">8.0% of fees to holders | DefiLlama 30-day fees vs holders revenue</t>
  </si>
  <si>
    <t xml:space="preserve">22.4x ($2.24M within 2%, Coinbase+Kraken+Binance.US) | Live order books 2026-10-05</t>
  </si>
  <si>
    <t xml:space="preserve">90-day TVL in native token terms -53.9% (dollar TVL +32.2%): price-neutral re-score | DefiLlama TVL ÷ CoinGecko token price, 2026-10-05</t>
  </si>
  <si>
    <t xml:space="preserve">Sentiment 87% | Galaxy 57.9</t>
  </si>
  <si>
    <t xml:space="preserve">v2/v3/v4 core never exploited | audits and bounty not re-verified</t>
  </si>
  <si>
    <t xml:space="preserve">SEC probe closed Feb-25 | no enforcement | ETF not yet approved</t>
  </si>
  <si>
    <t xml:space="preserve">DAO governs, core immutable | timelock length not re-verified</t>
  </si>
  <si>
    <t xml:space="preserve">Raised $181.0M (Tokenomist 2026-10-05)</t>
  </si>
  <si>
    <t xml:space="preserve">YES: BlackRock BUIDL tradable on UniswapX since 11 Feb 2026; BlackRock bought UNI (Cointelegraph, Uniswap Labs release).</t>
  </si>
  <si>
    <t xml:space="preserve">market cap $5.68B | CoinGecko</t>
  </si>
  <si>
    <t xml:space="preserve">market cap +186% over 90 days; relative to top-20 basket +115% | CoinGecko history</t>
  </si>
  <si>
    <t xml:space="preserve">MC/FDV 0.96</t>
  </si>
  <si>
    <t xml:space="preserve">~0% unlock; under 1M AAVE left</t>
  </si>
  <si>
    <t xml:space="preserve">Insider share not retrieved</t>
  </si>
  <si>
    <t xml:space="preserve">0% of fees to holders | DefiLlama 30-day fees vs holders revenue</t>
  </si>
  <si>
    <t xml:space="preserve">19.2x ($1.92M within 2%, Coinbase+Kraken+Binance.US) | Live order books 2026-10-05</t>
  </si>
  <si>
    <t xml:space="preserve">Excl. LSTs and receipts: native-token TVL -29.9% (-35.4% if only LSTs removed, which would be E). Grade kept at D, at the boundary | DefiLlama tokensInUsd ÷ CoinGecko price, 2026-10-05</t>
  </si>
  <si>
    <t xml:space="preserve">Sentiment 88% | Galaxy 61.2</t>
  </si>
  <si>
    <t xml:space="preserve">User decision 2026-10-05: direct loss only (Aave V3 $862K, Mar 2026, fully returned); Kelp bad debt not counted | DefiLlama hacks; user</t>
  </si>
  <si>
    <t xml:space="preserve">SEC told Aave Labs it would not recommend enforcement (Dec 16, 2025)</t>
  </si>
  <si>
    <t xml:space="preserve">DAO + timelock | Guardian freeze | rsETH LTV vote preceded the incident</t>
  </si>
  <si>
    <t xml:space="preserve">Raised $65.2M (Tokenomist 2026-10-05)</t>
  </si>
  <si>
    <t xml:space="preserve">Recent-news sweep: AAVE strong; RED and HYPE weak | Web search 2026-10-05</t>
  </si>
  <si>
    <t xml:space="preserve">market cap $2.85B | CoinGecko</t>
  </si>
  <si>
    <t xml:space="preserve">market cap +113% over 90 days; relative to top-20 basket +59% | CoinGecko history</t>
  </si>
  <si>
    <t xml:space="preserve">MC/FDV 0.49</t>
  </si>
  <si>
    <t xml:space="preserve">0% in 90 days; next unlock Jan 18, 2027</t>
  </si>
  <si>
    <t xml:space="preserve">Insiders &gt;50%; ~51% locked to 2029</t>
  </si>
  <si>
    <t xml:space="preserve">16.9x ($1.69M within 2%, Coinbase+Kraken+Binance.US) | Live order books 2026-10-05</t>
  </si>
  <si>
    <t xml:space="preserve">fees -0.6% (90d) | DefiLlama 2026-10-05</t>
  </si>
  <si>
    <t xml:space="preserve">Sentiment 84% | Galaxy 64.3</t>
  </si>
  <si>
    <t xml:space="preserve">8+ audits, no unresolved critical findings | Immunefi bounty | no exploit found</t>
  </si>
  <si>
    <t xml:space="preserve">SEC probe closed Nov-25 | no enforcement | SEC-registered adviser</t>
  </si>
  <si>
    <t xml:space="preserve">4-of-7 multisig but instant upgrades, no timelock</t>
  </si>
  <si>
    <t xml:space="preserve">Raised $34.0M (Tokenomist 2026-10-05)</t>
  </si>
  <si>
    <t xml:space="preserve">YES: BlackRock BUIDL is OUSG primary reserve; 6 May 2026 settlement across JPMorgan Kinexys, Mastercard MTN and XRPL; Franklin Templeton tokenized ETFs (Mar 2026).</t>
  </si>
  <si>
    <t xml:space="preserve">market cap $2.43B | CoinGecko</t>
  </si>
  <si>
    <t xml:space="preserve">MC/FDV 0.55</t>
  </si>
  <si>
    <t xml:space="preserve">Emission ~2.8% of circulating per 90 days</t>
  </si>
  <si>
    <t xml:space="preserve">No premine</t>
  </si>
  <si>
    <t xml:space="preserve">No fee burn or payout; yield is emission-funded</t>
  </si>
  <si>
    <t xml:space="preserve">35.1x ($3.51M within 2%, Coinbase+Kraken) | Live order books 2026-10-05</t>
  </si>
  <si>
    <t xml:space="preserve">Lower of fees in TAO terms -8.1% [C] and TVL in native token +869.9% [A] (borderline) | DefiLlama + CoinGecko, 2026-10-05</t>
  </si>
  <si>
    <t xml:space="preserve">Sentiment 81% | Galaxy 65.4</t>
  </si>
  <si>
    <t xml:space="preserve">5+ yrs live | no loss &gt;$10M in 24 mo | Jul-24 theft outside window</t>
  </si>
  <si>
    <t xml:space="preserve">Status unclear | no enforcement | ETF not confirmed</t>
  </si>
  <si>
    <t xml:space="preserve">Foundation influence | sudo key status not retrieved</t>
  </si>
  <si>
    <t xml:space="preserve">Blank: Not researched or nothing found in this pass.</t>
  </si>
  <si>
    <t xml:space="preserve">market cap $3.47B | CoinGecko</t>
  </si>
  <si>
    <t xml:space="preserve">market cap +71% over 90 days; relative to top-20 basket +28% | CoinGecko history</t>
  </si>
  <si>
    <t xml:space="preserve">MC/FDV 1.00</t>
  </si>
  <si>
    <t xml:space="preserve">No unlocks; net supply shrinking from burns</t>
  </si>
  <si>
    <t xml:space="preserve">Insiders 50% at launch (team 40%, angels 10%)</t>
  </si>
  <si>
    <t xml:space="preserve">10.0% of fees burned | DefiLlama 30-day fees vs holders revenue</t>
  </si>
  <si>
    <t xml:space="preserve">19.6x ($1.96M within 2%, Coinbase+Kraken+Binance.US) | Live order books 2026-10-05</t>
  </si>
  <si>
    <t xml:space="preserve">90-day TVL in native token terms -14.1% (dollar TVL +16.7%): price-neutral re-score | DefiLlama TVL ÷ CoinGecko token price, 2026-10-05</t>
  </si>
  <si>
    <t xml:space="preserve">Sentiment 80% | Galaxy 58</t>
  </si>
  <si>
    <t xml:space="preserve">6 yrs mainnet | no downtime 2025–26 | Oct-22 bridge exploit outside 24 mo</t>
  </si>
  <si>
    <t xml:space="preserve">Many licenses (VARA, France, Italy, Spain, Poland), MiCA U | enforcement carried by the cap (P8)</t>
  </si>
  <si>
    <t xml:space="preserve">40–45 validators | foundation-led forks | emergency halt precedent (2022)</t>
  </si>
  <si>
    <t xml:space="preserve">$35M: includes Binance exchange Series A ($10M, 2017) and Google Cloud round ($10M, 2024); company-level counts by user decision | dropstab.com 2026-10-05</t>
  </si>
  <si>
    <t xml:space="preserve">Blank: Small Nasdaq companies hold BNB as treasury (not use); Bhutan government and DK Bank run Binance Pay for tourists (Binance product).</t>
  </si>
  <si>
    <t xml:space="preserve">market cap $104.97B | CoinGecko</t>
  </si>
  <si>
    <t xml:space="preserve">market cap +35% over 90 days; relative to top-20 basket +1% | CoinGecko history</t>
  </si>
  <si>
    <t xml:space="preserve">MC/FDV 0.81–0.97, both ≥0.80</t>
  </si>
  <si>
    <t xml:space="preserve">Next unlock ~0.2% of circulating (issuance not retrieved)</t>
  </si>
  <si>
    <t xml:space="preserve">95% to holders; capped at C (fees &lt; $1M/mo) | DefiLlama 30-day fees vs holders revenue</t>
  </si>
  <si>
    <t xml:space="preserve">10.6x ($1.06M within 2%, Coinbase+Kraken+Binance.US) | Live order books 2026-10-05</t>
  </si>
  <si>
    <t xml:space="preserve">BME fees +259% (90d), tiny base | DefiLlama 2026-10-05</t>
  </si>
  <si>
    <t xml:space="preserve">Sentiment 86% | Galaxy 64.2</t>
  </si>
  <si>
    <t xml:space="preserve">No exploit found | migration completed | audits not re-verified</t>
  </si>
  <si>
    <t xml:space="preserve">Status unclear | no enforcement found</t>
  </si>
  <si>
    <t xml:space="preserve">Foundation-led with RNP votes | multisig not retrieved</t>
  </si>
  <si>
    <t xml:space="preserve">Raised $30.0M (Tokenomist 2026-10-05)</t>
  </si>
  <si>
    <t xml:space="preserve">Blank: Studio and Apple Vision Pro projects via OTOY; no confirmed named production contract.</t>
  </si>
  <si>
    <t xml:space="preserve">market cap $1.07B | CoinGecko</t>
  </si>
  <si>
    <t xml:space="preserve">market cap +32% over 90 days; relative to top-20 basket -1% | CoinGecko history</t>
  </si>
  <si>
    <t xml:space="preserve">MC/FDV 0.98 (0.89 on Tokenomist)</t>
  </si>
  <si>
    <t xml:space="preserve">Fully vested Aug-25</t>
  </si>
  <si>
    <t xml:space="preserve">88% to insiders, investors, reserves</t>
  </si>
  <si>
    <t xml:space="preserve">5% fee: half to stakers, half to Foundation; volumes small</t>
  </si>
  <si>
    <t xml:space="preserve">5.7x ($0.57M within 2%, Coinbase+Kraken+Binance.US) | Live order books 2026-10-05</t>
  </si>
  <si>
    <t xml:space="preserve">No 30 or 90-day change retrieved</t>
  </si>
  <si>
    <t xml:space="preserve">Sentiment 80% | Galaxy 55.7</t>
  </si>
  <si>
    <t xml:space="preserve">User decisions 2026-10-05: SHIB stays C (treated as remediated); FET stays C; SAND no Cap 4 (unbacked mint treated as resolved); QNT OK (date discrepancy Apr vs Jul left as is) | User</t>
  </si>
  <si>
    <t xml:space="preserve">Status unclear | no enforcement found | Korean cautions lifted Oct 2</t>
  </si>
  <si>
    <t xml:space="preserve">Multisig removed bridge peers fast | L2 mint config flawed | time-lock U</t>
  </si>
  <si>
    <t xml:space="preserve">Yes: CoinGecko describes SAND as the utility token for transactions in The Sandbox. No DefiLlama series.</t>
  </si>
  <si>
    <t xml:space="preserve">Raised $121.9M (Tokenomist 2026-10-05)</t>
  </si>
  <si>
    <t xml:space="preserve">market cap $0.21B | CoinGecko</t>
  </si>
  <si>
    <t xml:space="preserve">market cap +60% over 90 days; relative to top-20 basket +20% | CoinGecko history</t>
  </si>
  <si>
    <t xml:space="preserve">MC/FDV ≈1.00</t>
  </si>
  <si>
    <t xml:space="preserve">Tail emission ~0.84% a year</t>
  </si>
  <si>
    <t xml:space="preserve">Fair launch, no premine</t>
  </si>
  <si>
    <t xml:space="preserve">10.8x ($1.08M within 2%, Kraken) | Live order books 2026-10-05</t>
  </si>
  <si>
    <t xml:space="preserve">Lower of fees (USD) +38.3% [A] and fees in native token -16.9% [D] | DefiLlama + CoinGecko, 2026-10-05</t>
  </si>
  <si>
    <t xml:space="preserve">Sentiment 79% | Galaxy 45.4</t>
  </si>
  <si>
    <t xml:space="preserve">12 yrs live | Aug/Sep-25 Qubic reorgs (6 blocks) | no funds lost</t>
  </si>
  <si>
    <t xml:space="preserve">Delisting carried by the cap (P8) | no enforcement vs asset | EU AMLR Jul-27</t>
  </si>
  <si>
    <t xml:space="preserve">Yes: base payment asset with DefiLlama fee series (small: ~$0.4K-$3K/day for LTC, XMR, ZEC).</t>
  </si>
  <si>
    <t xml:space="preserve">market cap $10.57B | CoinGecko</t>
  </si>
  <si>
    <t xml:space="preserve">market cap +68% over 90 days; relative to top-20 basket +26% | CoinGecko history</t>
  </si>
  <si>
    <t xml:space="preserve">MC/FDV 0.80 (fixed 21M cap)</t>
  </si>
  <si>
    <t xml:space="preserve">Issuance ~3.9% a year ≈ 1.0% per 90 days</t>
  </si>
  <si>
    <t xml:space="preserve">Dev fund share of block rewards (not re-verified)</t>
  </si>
  <si>
    <t xml:space="preserve">109.8x ($10.98M within 2%, Coinbase+Kraken+Binance.US) | Live order books 2026-10-05</t>
  </si>
  <si>
    <t xml:space="preserve">chain fees +381% / TVL +79.5% (90d) | DefiLlama 2026-10-05</t>
  </si>
  <si>
    <t xml:space="preserve">Sentiment 77% | Galaxy 69.4</t>
  </si>
  <si>
    <t xml:space="preserve">Orchard counterfeiting flaw patched Jul 28; no loss found</t>
  </si>
  <si>
    <t xml:space="preserve">US standing: SEC probe closed Jan-26, spot ETF listed | EU AMLR from Jul-27 enters through the label</t>
  </si>
  <si>
    <t xml:space="preserve">market cap $22.76B | CoinGecko</t>
  </si>
  <si>
    <t xml:space="preserve">market cap +180% over 90 days; relative to top-20 basket +110% | CoinGecko history</t>
  </si>
  <si>
    <t xml:space="preserve">Issuance 0.8% a quarter</t>
  </si>
  <si>
    <t xml:space="preserve">Fair launch</t>
  </si>
  <si>
    <t xml:space="preserve">Not applicable for memecoins</t>
  </si>
  <si>
    <t xml:space="preserve">50.2x ($5.02M within 2%, Coinbase+Kraken+Binance.US) | Live order books 2026-10-05</t>
  </si>
  <si>
    <t xml:space="preserve">chain fees +6.2% (90d) | DefiLlama 2026-10-05</t>
  </si>
  <si>
    <t xml:space="preserve">Sentiment 82% | Galaxy 72.8</t>
  </si>
  <si>
    <t xml:space="preserve">12.8 yrs, no loss &gt;$10M | DogeReaper node crash Dec-2024, patched</t>
  </si>
  <si>
    <t xml:space="preserve">SEC/CFTC joint interpretation (17-Mar-26) names DOGE a digital commodity | ETPs listed | no enforcement</t>
  </si>
  <si>
    <t xml:space="preserve">User decision: no use beyond trading | User</t>
  </si>
  <si>
    <t xml:space="preserve">NO: Decision by user, 2026-10-05: no use beyond trading. L11 = M. L13 left blank (dated merchant acceptance only).</t>
  </si>
  <si>
    <t xml:space="preserve">market cap $14.95B | CoinGecko</t>
  </si>
  <si>
    <t xml:space="preserve">market cap +30% over 90 days; relative to top-20 basket -3% | CoinGecko history</t>
  </si>
  <si>
    <t xml:space="preserve">MC/FDV ~1.00</t>
  </si>
  <si>
    <t xml:space="preserve">No unlocks; fully circulating</t>
  </si>
  <si>
    <t xml:space="preserve">Insider share not documented</t>
  </si>
  <si>
    <t xml:space="preserve">9.1x ($0.91M within 2%, Coinbase+Kraken+Binance.US) | Live order books 2026-10-05</t>
  </si>
  <si>
    <t xml:space="preserve">90-day TVL in native token terms +7.5% (dollar TVL +45.0%): price-neutral re-score | DefiLlama TVL ÷ CoinGecko token price, 2026-10-05</t>
  </si>
  <si>
    <t xml:space="preserve">Sentiment 76% | Galaxy 55.7</t>
  </si>
  <si>
    <t xml:space="preserve">Status unclear | no enforcement found | no US spot ETF approved</t>
  </si>
  <si>
    <t xml:space="preserve">Token immutable | Shibarium validator set of 12 keys, 10 compromised Sep-25</t>
  </si>
  <si>
    <t xml:space="preserve">market cap $3.48B | CoinGecko</t>
  </si>
  <si>
    <t xml:space="preserve">Not applicable for stablecoin / RWA group</t>
  </si>
  <si>
    <t xml:space="preserve">203.4x ($20.34M within 2%, Kraken+Binance.US) | Live order books 2026-10-05</t>
  </si>
  <si>
    <t xml:space="preserve">supply +1.5% (90d) | DefiLlama 2026-10-05</t>
  </si>
  <si>
    <t xml:space="preserve">Sentiment 84% | Galaxy 36.1</t>
  </si>
  <si>
    <t xml:space="preserve">7+ yrs live | no exploit found in 24 mo | audits not re-verified this run</t>
  </si>
  <si>
    <t xml:space="preserve">Status clear (GENIUS, OCC, MiCA) | Wisconsin prosecutors' complaint over a refused seizure warrant (Jul-26, disputed)</t>
  </si>
  <si>
    <t xml:space="preserve">3 of 4 issuer controls verified: monthly attestation, published freeze policy, regulated redemption | independent multisig not verified</t>
  </si>
  <si>
    <t xml:space="preserve">Yes: payment/settlement stablecoins (DefiLlama supply); PAXG represents 1 oz of London Good Delivery gold (CoinGecko).</t>
  </si>
  <si>
    <t xml:space="preserve">YES: Visa data: ~70% of adjusted stablecoin settlement volume H1 2026; Visa/Stripe/BlackRock integrations (Cobo, Visa).</t>
  </si>
  <si>
    <t xml:space="preserve">market cap $74.33B | CoinGecko</t>
  </si>
  <si>
    <t xml:space="preserve">Not applicable: market cap follows supply, not price</t>
  </si>
  <si>
    <t xml:space="preserve">503.6x ($50.36M within 2%, Coinbase+Kraken+Binance.US) | Live order books 2026-10-05</t>
  </si>
  <si>
    <t xml:space="preserve">supply -0.2% (90d) | DefiLlama 2026-10-05</t>
  </si>
  <si>
    <t xml:space="preserve">Sentiment 85% | Galaxy 33.6</t>
  </si>
  <si>
    <t xml:space="preserve">12 yrs live | no loss &gt;$10M in 24 mo found</t>
  </si>
  <si>
    <t xml:space="preserve">Not GENIUS-licensed (USAT is the compliant product) | restricted in EU | no active enforcement found</t>
  </si>
  <si>
    <t xml:space="preserve">0 of 4 issuer controls: quarterly (not monthly) attestation; policy not fully public; offshore; signers unverified</t>
  </si>
  <si>
    <t xml:space="preserve">Blank: USDT: Tether USAT launched Jan 2026 via Anchorage with Cantor Fitzgerald as custodian; no named major corporation or government using USDT found. PAXG: Paxos pitches banks, Nexo ($5M purchase) only; no major production use found.</t>
  </si>
  <si>
    <t xml:space="preserve">market cap $184.08B | CoinGecko</t>
  </si>
  <si>
    <t xml:space="preserve">MC/FDV 0.93 (77.7M of 84M)</t>
  </si>
  <si>
    <t xml:space="preserve">Issuance ~0.4% per 90 days (6.25 LTC per block)</t>
  </si>
  <si>
    <t xml:space="preserve">41.1x ($4.11M within 2%, Coinbase+Kraken+Binance.US) | Live order books 2026-10-05</t>
  </si>
  <si>
    <t xml:space="preserve">Lower of fees (USD) +37.8% [A] and fees in native token -1.6% [C] (borderline) | DefiLlama + CoinGecko, 2026-10-05</t>
  </si>
  <si>
    <t xml:space="preserve">Sentiment 81% | Galaxy 66.5</t>
  </si>
  <si>
    <t xml:space="preserve">MWEB exploit: Mar 2026 attacker pegged out 85,034 LTC (~$4.8M at about $56); Apr 25 2026 follow-up caused a 13-block reorg; patched, no lasting inflation per Litecoin postmortem. Grade C ($1-10M remediated). DefiLlama lists "Litecoin" Apr 2026, amount blank. More than 90 days ago, so no flag. | litecoin.com postmortem; forklog.com; DefiLlama hacks 2026-10-05</t>
  </si>
  <si>
    <t xml:space="preserve">Tagged an SEC/CFTC digital commodity (Coinbase); no enforcement</t>
  </si>
  <si>
    <t xml:space="preserve">Blank: AMC (2021-22 via BitPay) and Tesla (DOGE merchandise) accepted them; dated and current status not verified.</t>
  </si>
  <si>
    <t xml:space="preserve">market cap $5.45B | CoinGecko</t>
  </si>
  <si>
    <t xml:space="preserve">MC/FDV 0.26 (251M of 951M)</t>
  </si>
  <si>
    <t xml:space="preserve">≈11.9% of circulating unlocks in 90 days (9.92M a month; Tokenomist)</t>
  </si>
  <si>
    <t xml:space="preserve">Team 23.8% + foundation 6% = 29.8%</t>
  </si>
  <si>
    <t xml:space="preserve">81.5% of fees to holders | DefiLlama 30-day fees vs holders revenue</t>
  </si>
  <si>
    <t xml:space="preserve">53.0x ($5.30M within 2%, Coinbase+Kraken+Binance.US) | Live order books 2026-10-05</t>
  </si>
  <si>
    <t xml:space="preserve">90-day TVL in native token terms -37.3% (dollar TVL -19.6%): price-neutral re-score | DefiLlama TVL ÷ CoinGecko token price, 2026-10-05</t>
  </si>
  <si>
    <t xml:space="preserve">Sentiment 80% | Galaxy 65.2</t>
  </si>
  <si>
    <t xml:space="preserve">POPCAT manipulation Nov-25 (~$4.9M bad debt) and JELLY; remediated</t>
  </si>
  <si>
    <t xml:space="preserve">US status not retrieved</t>
  </si>
  <si>
    <t xml:space="preserve">Validator and bridge controls not retrieved</t>
  </si>
  <si>
    <t xml:space="preserve">market cap $21.02B | CoinGecko</t>
  </si>
  <si>
    <t xml:space="preserve">market cap +37% over 90 days; relative to top-20 basket +2% | CoinGecko history</t>
  </si>
  <si>
    <t xml:space="preserve">MC/FDV 0.81 (12.07M of 14.88M)</t>
  </si>
  <si>
    <t xml:space="preserve">Unlock schedule not retrieved</t>
  </si>
  <si>
    <t xml:space="preserve">Allocation not retrieved</t>
  </si>
  <si>
    <t xml:space="preserve">Fee share not retrieved</t>
  </si>
  <si>
    <t xml:space="preserve">35.0x ($3.50M within 2%, Coinbase+Kraken+Binance.US) | Live order books 2026-10-05</t>
  </si>
  <si>
    <t xml:space="preserve">No usage series retrieved</t>
  </si>
  <si>
    <t xml:space="preserve">Sentiment 77% | Galaxy 37</t>
  </si>
  <si>
    <t xml:space="preserve">No SEC or CFTC action found in news search</t>
  </si>
  <si>
    <t xml:space="preserve">The reserve pool's admin identity was a single externally owned account (SlowMist)</t>
  </si>
  <si>
    <t xml:space="preserve">DropsTab: licence token (purpose Yes); $26M raised (backers B) | dropstab.com 2026-10-05</t>
  </si>
  <si>
    <t xml:space="preserve">Clearing House selected Quant for tokenized deposit network (launch H1 2027); weak: pre-production, technology not token | thecryptobasic.com 2026-10-03</t>
  </si>
  <si>
    <t xml:space="preserve">market cap $3.78B | CoinGecko</t>
  </si>
  <si>
    <t xml:space="preserve">market cap +294% over 90 days; relative to top-20 basket +195% | CoinGecko history</t>
  </si>
  <si>
    <t xml:space="preserve">MC/FDV 0.44 (879M of 2.0B per Tokenomist; TradingView shows 2.0B)</t>
  </si>
  <si>
    <t xml:space="preserve">Fully unlocked; schedule ended 2025 (Tokenomist)</t>
  </si>
  <si>
    <t xml:space="preserve">Insiders 42.9% (project dev 25%, private 13.86%, foundation 4%)</t>
  </si>
  <si>
    <t xml:space="preserve">1.9x ($0.19M within 2%, Coinbase+Kraken+Binance.US) | Live order books 2026-10-05</t>
  </si>
  <si>
    <t xml:space="preserve">90-day TVL in native token terms -20.4% (dollar TVL +1.6%): price-neutral re-score | DefiLlama TVL ÷ CoinGecko token price, 2026-10-05</t>
  </si>
  <si>
    <t xml:space="preserve">Sentiment 56% | Galaxy 58.9</t>
  </si>
  <si>
    <t xml:space="preserve">No exploit found in news search</t>
  </si>
  <si>
    <t xml:space="preserve">SEC closed its investigation on Mar 25, 2025 with no enforcement action (Decrypt)</t>
  </si>
  <si>
    <t xml:space="preserve">Admin controls not retrieved</t>
  </si>
  <si>
    <t xml:space="preserve">Raised $291.4M (Tokenomist 2026-10-05)</t>
  </si>
  <si>
    <t xml:space="preserve">market cap $0.17B | CoinGecko</t>
  </si>
  <si>
    <t xml:space="preserve">market cap +43% over 90 days; relative to top-20 basket +7% | CoinGecko history</t>
  </si>
  <si>
    <t xml:space="preserve">47.3x ($4.73M within 2%, Coinbase+Kraken+Binance.US) | Live order books 2026-10-05</t>
  </si>
  <si>
    <t xml:space="preserve">Sentiment 100% | Galaxy 44.5</t>
  </si>
  <si>
    <t xml:space="preserve">No exploit found; live since Aug 2019</t>
  </si>
  <si>
    <t xml:space="preserve">NYDFS-regulated issuer; Paxos settled an NYDFS case in 2025 ($26.5M penalty + $22M compliance); no action on the token</t>
  </si>
  <si>
    <t xml:space="preserve">Issuer can freeze, pause, mint and burn; Paxos's sister token PYUSD was over-minted from one key (Oct-25); PAXG controls not verified</t>
  </si>
  <si>
    <t xml:space="preserve">market cap $1.81B | CoinGecko</t>
  </si>
  <si>
    <t xml:space="preserve">Float 53.4%; MC/FDV 0.53; grade confirmed | Tokenomist / CoinGecko</t>
  </si>
  <si>
    <t xml:space="preserve">Unlocks of 31.6M RED a month (Nov 3, Dec 3, Jan 3) = 2 to 3 unlocks, 12-18% of 527.8M circulating in the next 90 days (&gt;10%) | Tokenomics.com RedStone unlock schedule, 2026-10-05</t>
  </si>
  <si>
    <t xml:space="preserve">Private investors 31.7% + insiders 20% + foundation 10% = 61.7% of supply; grade confirmed | Tokenomics.com</t>
  </si>
  <si>
    <t xml:space="preserve">1.3x ($0.13M within 2%, Coinbase+Kraken) | Live order books 2026-10-05</t>
  </si>
  <si>
    <t xml:space="preserve">TVS $3.71B vs $6.4B at launch; no 30 or 90-day change</t>
  </si>
  <si>
    <t xml:space="preserve">Sentiment 83% | Galaxy 54.6</t>
  </si>
  <si>
    <t xml:space="preserve">No exploit of RedStone found; the Feb-26 Stellar exploit used a different oracle (Cointelegraph)</t>
  </si>
  <si>
    <t xml:space="preserve">L11 BLANK: descriptions describe the organisation, not the token function; no usage series.</t>
  </si>
  <si>
    <t xml:space="preserve">Raised $22.5M (Tokenomist 2026-10-05)</t>
  </si>
  <si>
    <t xml:space="preserve">market cap $0.09B | CoinGecko</t>
  </si>
  <si>
    <t xml:space="preserve">market cap +107% over 90 days; relative to top-20 basket +55% | CoinGecko history</t>
  </si>
  <si>
    <t xml:space="preserve">MC/FDV 0.86 (2.34B of 2.71B)</t>
  </si>
  <si>
    <t xml:space="preserve">Circulating 2.240B to 2.261B across recent Tokenomist crawls (+0.9%); monthly unlocks continue to 2050, amounts not shown</t>
  </si>
  <si>
    <t xml:space="preserve">Insiders 27.0% (founders 8.77%, foundation 8.77%, private 5.08%, advisors 4.38%)</t>
  </si>
  <si>
    <t xml:space="preserve">10.2x ($1.02M within 2%, Coinbase+Kraken+Binance.US) | Live order books 2026-10-05</t>
  </si>
  <si>
    <t xml:space="preserve">Sentiment 83% | Galaxy 62.7</t>
  </si>
  <si>
    <t xml:space="preserve">A single backend authorization key was compromised (Sep-26); alliance governance fractured when Ocean left (Oct-25)</t>
  </si>
  <si>
    <t xml:space="preserve">Raised $66.0M (Tokenomist 2026-10-05)</t>
  </si>
  <si>
    <t xml:space="preserve">market cap $0.59B | CoinGecko</t>
  </si>
  <si>
    <t xml:space="preserve">market cap +59% over 90 days; relative to top-20 basket +19% | CoinGecko history</t>
  </si>
  <si>
    <t xml:space="preserve">MC/FDV 0.49 (270M of 555M)</t>
  </si>
  <si>
    <t xml:space="preserve">Evidence corrected: Tokenomist note "schedule ended 2024" is internally inconsistent (says fully unlocked while 48.6% is circulating). Grade kept A on observed data: circulating supply grew about 0.2% in 90 days (269.3M to 269.9M) and 0.4% in 180 days. Mining Reserve emissions not itemised, so confidence is lower. | CoinGecko market chart; tokenomist.ai/raydium; dropstab.com 2026-10-05</t>
  </si>
  <si>
    <t xml:space="preserve">10.4% of fees to holders | DefiLlama 30-day fees vs holders revenue</t>
  </si>
  <si>
    <t xml:space="preserve">4.0x ($0.40M within 2%, Coinbase+Kraken) | Live order books 2026-10-05</t>
  </si>
  <si>
    <t xml:space="preserve">90-day TVL in native token terms -52.2% (dollar TVL +46.4%): price-neutral re-score | DefiLlama TVL ÷ CoinGecko token price, 2026-10-05</t>
  </si>
  <si>
    <t xml:space="preserve">Sentiment 87% | Galaxy 50.3</t>
  </si>
  <si>
    <t xml:space="preserve">Jun 10, 2026: $1.34M drained from the retired legacy AMM V3 program; treasury to reimburse (The Block, Decrypt)</t>
  </si>
  <si>
    <t xml:space="preserve">Program upgrades by a 3-of-4 Squads multisig and a 3-of-5 treasury multisig; no timelock found (Raydium docs)</t>
  </si>
  <si>
    <t xml:space="preserve">market cap $0.60B | CoinGecko</t>
  </si>
  <si>
    <t xml:space="preserve">market cap +211% over 90 days; relative to top-20 basket +133% | CoinGecko history</t>
  </si>
  <si>
    <t xml:space="preserve">MC/FDV 0.69 (16.6B of 24B)</t>
  </si>
  <si>
    <t xml:space="preserve">Monthly unlocks of ~19.4M NIGHT (Oct 7, Nov 7, Dec 7) = ~58M, 0.35% of 16.6B circulating (&lt;=1%). Thaw tranches assumed already in circulating supply | Tokenomics.com Midnight unlock schedule, 2026-10-05</t>
  </si>
  <si>
    <t xml:space="preserve">Foundation share 35% (C grade, &gt;25-40%); TGE entity 15.3% excluded by user decision | Tokenomics.com via handoff; user decision 2026-10-05</t>
  </si>
  <si>
    <t xml:space="preserve">No fee burn, buyback or payout: holding NIGHT generates DUST (non-transferable capacity resource) | midnight.network blog 25 Jun 2025; user reading</t>
  </si>
  <si>
    <t xml:space="preserve">11.4x ($1.14M within 2%, Kraken) | Live order books 2026-10-05</t>
  </si>
  <si>
    <t xml:space="preserve">No usage series</t>
  </si>
  <si>
    <t xml:space="preserve">CoinGecko API community votes 90.3% bullish (user quoted 89%) + Galaxy 67.8. Sentiment step A, Galaxy step B, mean rounds down to B: no change. Note: CoinGecko votes are not the TradingView sentiment the guide specifies | CoinGecko API 2026-10-05</t>
  </si>
  <si>
    <t xml:space="preserve">Jul 20, 2026: Wanchain bridge exploit drained ~515M NIGHT (~$9–10M) from the bridge; Midnight says its network was not compromised</t>
  </si>
  <si>
    <t xml:space="preserve">Unclear but no action found: no NIGHT-specific SEC/CFTC ruling, ETF or commodity tag; general SEC framework only; listed on Kraken and Binance | HSF Kramer 29 Sep 2026; web search 2026-10-05</t>
  </si>
  <si>
    <t xml:space="preserve">Not retrieved</t>
  </si>
  <si>
    <t xml:space="preserve">Purpose Yes: holding NIGHT generates DUST that powers transactions and smart contracts; permissionless smart contracts reported live 5 Oct 2026 (single news item) | midnight.network blog; CoinGecko 2026-10-05</t>
  </si>
  <si>
    <t xml:space="preserve">Left blank by decision: the Monument Bank announcement and node operators (Google Cloud, MoneyGram) are not counted.</t>
  </si>
  <si>
    <t xml:space="preserve">market cap $0.84B | CoinGecko</t>
  </si>
  <si>
    <t xml:space="preserve">market cap +53% over 90 days; relative to top-20 basket +14% | CoinGecko history</t>
  </si>
  <si>
    <t xml:space="preserve">MC/FDV 0.57 (568M of 1B)</t>
  </si>
  <si>
    <t xml:space="preserve">Circulating +32% in 9 months ≈ 10% per 90 days (derived)</t>
  </si>
  <si>
    <t xml:space="preserve">Raw top-10 hold 79.7% incl. exchanges and escrow; insiders not separable</t>
  </si>
  <si>
    <t xml:space="preserve">No fee accrual retrieved</t>
  </si>
  <si>
    <t xml:space="preserve">0.6x ($0.06M within 2%, Coinbase+Kraken) | Live order books 2026-10-05</t>
  </si>
  <si>
    <t xml:space="preserve">Level only: 75 daily addresses</t>
  </si>
  <si>
    <t xml:space="preserve">Sentiment 50% | Galaxy 58.7</t>
  </si>
  <si>
    <t xml:space="preserve">No hack of POWR found in news search</t>
  </si>
  <si>
    <t xml:space="preserve">Named one of nine tokens the SEC called securities in the 2022 Coinbase insider-trading case; no action against the issuer found</t>
  </si>
  <si>
    <t xml:space="preserve">$29.24M: 2017 token sales ($16M pre-sale, $13.24M public) | dropstab.com 2026-10-05</t>
  </si>
  <si>
    <t xml:space="preserve">YES (weak): TraceX integrated with ERCOT for renewable-energy certificates (2025); POWR is the licence token for the platform. Adoption is of the company software.</t>
  </si>
  <si>
    <t xml:space="preserve">market cap $0.04B | CoinGecko</t>
  </si>
  <si>
    <t xml:space="preserve">market cap +69% over 90 days; relative to top-20 basket +27% | CoinGecko history</t>
  </si>
  <si>
    <t xml:space="preserve">No unlocks or emission</t>
  </si>
  <si>
    <t xml:space="preserve">No presale; 6.36% to an 8-signer multisig (MEXC)</t>
  </si>
  <si>
    <t xml:space="preserve">18.8x ($1.88M within 2%, Coinbase+Kraken+Binance.US) | Live order books 2026-10-05</t>
  </si>
  <si>
    <t xml:space="preserve">Sentiment 81% | Galaxy 43.9</t>
  </si>
  <si>
    <t xml:space="preserve">No incident found; immutable token (Cyberscope)</t>
  </si>
  <si>
    <t xml:space="preserve">Ownership renounced (Cyberscope)</t>
  </si>
  <si>
    <t xml:space="preserve">No: CoinGecko describes a meme token with no function; no DefiLlama protocol or chain.</t>
  </si>
  <si>
    <t xml:space="preserve">NO: Searched with other memecoins: no company or government use found.</t>
  </si>
  <si>
    <t xml:space="preserve">market cap $1.85B | CoinGecko</t>
  </si>
  <si>
    <t xml:space="preserve">market cap +65% over 90 days; relative to top-20 basket +24% | CoinGecko history</t>
  </si>
  <si>
    <t xml:space="preserve">MC/FDV 0.50 (49.5B of 99B)</t>
  </si>
  <si>
    <t xml:space="preserve">Reserve releases ~1.17B CRO a month (≈7% of circulating per 90 days) (Forklog)</t>
  </si>
  <si>
    <t xml:space="preserve">70B burned CRO reissued in Mar 2025 into a Cronos Strategic Reserve (70% of 100B supply); reported Crypto.com control of up to 80% of voting power</t>
  </si>
  <si>
    <t xml:space="preserve">Burn/buyback not retrieved</t>
  </si>
  <si>
    <t xml:space="preserve">2.4x ($0.24M within 2%, Coinbase+Kraken) | Live order books 2026-10-05</t>
  </si>
  <si>
    <t xml:space="preserve">90-day TVL in native token terms -46.0% (dollar TVL -37.0%): price-neutral re-score | DefiLlama TVL ÷ CoinGecko token price, 2026-10-05</t>
  </si>
  <si>
    <t xml:space="preserve">Sentiment 67% | Galaxy 62.4</t>
  </si>
  <si>
    <t xml:space="preserve">Aug 30, 2026: Tectonic lending exploit ($66–75M); validators halted Cronos and restored state to before the exploit (BleepingComputer)</t>
  </si>
  <si>
    <t xml:space="preserve">SEC closed its Crypto.com investigation in Mar 2025 with no action</t>
  </si>
  <si>
    <t xml:space="preserve">Validators halted the chain and rolled back state; validator set capped at 100 and tied to Crypto.com</t>
  </si>
  <si>
    <t xml:space="preserve">$426.2M: 2017 public sale $26.2M plus $400M Citadel Securities equity in Crypto.com (Jul 2026); company-level counts by user decision | dropstab.com 2026-10-05</t>
  </si>
  <si>
    <t xml:space="preserve">YES (weak): Trump Media bought $105M of CRO and integrates it into Truth Social rewards (Blockworks). Related-party and treasury-style; borderline.</t>
  </si>
  <si>
    <t xml:space="preserve">market cap $3.43B | CoinGecko</t>
  </si>
  <si>
    <t xml:space="preserve">market cap +31% over 90 days; relative to top-20 basket -2% | CoinGecko history</t>
  </si>
  <si>
    <t xml:space="preserve">MC/FDV 0.62 (TradingView FDV $7.97B on 720M max supply; CoinGecko FDV uses total supply 470M and gives 0.94) | TradingView, CoinGecko</t>
  </si>
  <si>
    <t xml:space="preserve">Realized circulating supply +2.66% in 90 days (proxy; next unlock is one small Foundation event of 1.67M AVAX in Dec) | CoinGecko history; dropstab.com</t>
  </si>
  <si>
    <t xml:space="preserve">Team 10 + Foundation 9.26 + Strategic partners 5 + Seed 2.5 + Private 3.46 = 30.2% of max supply (7% Community and Development Endowment not counted) | dropstab.com</t>
  </si>
  <si>
    <t xml:space="preserve">Holders revenue $2.73M of $10.76M fees (30d) = 25.4%; borderline (cut-off 25%) | DefiLlama</t>
  </si>
  <si>
    <t xml:space="preserve">$2.76M bid depth within 2% across Coinbase, Kraken, Binance.US = 27.6x | Live order books 2026-10-05</t>
  </si>
  <si>
    <t xml:space="preserve">Lower of Price-free: stablecoin supply +12.3% (A) and Native-token: chain TVL in AVAX terms -17.3% (D) | DefiLlama, CoinGecko</t>
  </si>
  <si>
    <t xml:space="preserve">Sentiment 79, Galaxy 50.8 | TradingView</t>
  </si>
  <si>
    <t xml:space="preserve">No DefiLlama hit by name in 24 months (name match only) | DefiLlama hacks</t>
  </si>
  <si>
    <t xml:space="preserve">VanEck spot AVAX ETF (VAVX) trading on Nasdaq; no enforcement found | Decrypt</t>
  </si>
  <si>
    <t xml:space="preserve">Not retrieved.</t>
  </si>
  <si>
    <t xml:space="preserve">Chain fees $10.8M in 30 days | DefiLlama</t>
  </si>
  <si>
    <t xml:space="preserve">$536.0M raised (OTC $250M Dec 2024, venture $230M, seed, private and public sales 2020); company-level counts | dropstab.com</t>
  </si>
  <si>
    <t xml:space="preserve">BlackRock BUIDL ($500M launch Nov 2025, over $900M AUM later), Broadridge proxy voting, FIS/Intain tokenized loans in production on Avalanche. Adoption of the network, like ETH | Cointelegraph (Messari), Ava Labs</t>
  </si>
  <si>
    <t xml:space="preserve">Market cap $4.94B | CoinGecko</t>
  </si>
  <si>
    <t xml:space="preserve">Market cap +71.2% in 90 days; +28.2% vs top-20 basket | CoinGecko history</t>
  </si>
  <si>
    <t xml:space="preserve">MC/FDV 0.88 | TradingView</t>
  </si>
  <si>
    <t xml:space="preserve">Realized circulating supply +0.47% in 90 days (proxy) | CoinGecko history</t>
  </si>
  <si>
    <t xml:space="preserve">Investors 22.3% (SAFT, exchange offer, TPA) + Swirlds investors 2.0 + Hashgraph licence 5.7 + Council 0.8 + 2018 Coin Plan 13.2 = 43.9%. Treasury pools (Ecosystem Development 17.8%, Unallocated 37.9%) excluded; including them would give E | dropstab.com</t>
  </si>
  <si>
    <t xml:space="preserve">Holders revenue $1.4K of $236K fees (30d) = 0.6%, below the 1% cut-off for D; fees under $1M a month | DefiLlama</t>
  </si>
  <si>
    <t xml:space="preserve">$1.47M bid depth within 2% = 14.7x | Live order books 2026-10-05</t>
  </si>
  <si>
    <t xml:space="preserve">Lower of Price-free: stablecoin supply +15.8% (A) and Native-token: chain TVL in HBAR terms -32.9% (E); within 5 points of the -30 cut-off | DefiLlama, CoinGecko</t>
  </si>
  <si>
    <t xml:space="preserve">Sentiment 88 (A), Galaxy 41.6 (D): mean rounds down | TradingView</t>
  </si>
  <si>
    <t xml:space="preserve">No DefiLlama hit by name; Bonzo Lend ($9.05M, Jul 2026) is an app on Hedera, not the network | DefiLlama hacks</t>
  </si>
  <si>
    <t xml:space="preserve">Canary spot HBAR ETF (HBR) trading on Nasdaq since 28 Oct 2025; no enforcement found | Business Wire; Benzinga</t>
  </si>
  <si>
    <t xml:space="preserve">Chain fees $0.24M in 30 days; TVL $41M | DefiLlama</t>
  </si>
  <si>
    <t xml:space="preserve">$123.0M raised (SAFT series 1, 2, 3A, 3B and others) | dropstab.com</t>
  </si>
  <si>
    <t xml:space="preserve">Left blank: Governing Council members (Google, IBM, Boeing and others) run nodes; per the NIGHT decision, node operators are not counted | User decision on NIGHT, applied by analogy</t>
  </si>
  <si>
    <t xml:space="preserve">Market cap $4.44B | CoinGecko</t>
  </si>
  <si>
    <t xml:space="preserve">Market cap +43.0% in 90 days; +7.1% vs basket | CoinGecko history</t>
  </si>
  <si>
    <t xml:space="preserve">MC/FDV 0.796 (TradingView FDV $0.98B on 400M max); borderline versus 0.80 | TradingView</t>
  </si>
  <si>
    <t xml:space="preserve">Realized circulating supply -1.5% in 90 days (burns exceed emissions) | CoinGecko history</t>
  </si>
  <si>
    <t xml:space="preserve">Blank: DropsTab has no allocation breakdown (no vesting data) | dropstab.com</t>
  </si>
  <si>
    <t xml:space="preserve">Holders revenue $4.61M of $20.99M fees (30d) = 22.0% | DefiLlama</t>
  </si>
  <si>
    <t xml:space="preserve">$0.14M bid depth within 2% = 1.43x | Live order books 2026-10-05</t>
  </si>
  <si>
    <t xml:space="preserve">Lower of Price-free: fees (30-day average) +151% (A) and Native-token: protocol TVL in CAKE terms -36.5% (E) | DefiLlama, CoinGecko</t>
  </si>
  <si>
    <t xml:space="preserve">Sentiment 74 (D), Galaxy 62.4 (B): mean rounds down | TradingView</t>
  </si>
  <si>
    <t xml:space="preserve">No DefiLlama hit by name (name match only) | DefiLlama hacks</t>
  </si>
  <si>
    <t xml:space="preserve">No ETF, no enforcement found; Senator Warren asked for an investigation in Dec 2025 (no action) | Web search 2026-10-05</t>
  </si>
  <si>
    <t xml:space="preserve">DEX fees $21.0M in 30 days | DefiLlama</t>
  </si>
  <si>
    <t xml:space="preserve">$0.35M grant only | dropstab.com</t>
  </si>
  <si>
    <t xml:space="preserve">Market cap $0.78B | CoinGecko</t>
  </si>
  <si>
    <t xml:space="preserve">Market cap +74.4% in 90 days; +30.7% vs basket | CoinGecko history</t>
  </si>
  <si>
    <t xml:space="preserve">MC/FDV 0.999 | CoinGecko (TradingView has no SKY coin data)</t>
  </si>
  <si>
    <t xml:space="preserve">Realized circulating supply +0.43% in 90 days (proxy) | CoinGecko history</t>
  </si>
  <si>
    <t xml:space="preserve">Blank: no allocation data | dropstab.com</t>
  </si>
  <si>
    <t xml:space="preserve">Holders revenue $5.42M of $26.91M fees (30d, Sky Lending) = 20.1%; a March 2026 vote cut buybacks | DefiLlama; DefiLlama dashboard</t>
  </si>
  <si>
    <t xml:space="preserve">$0.20M bid depth within 2% = 1.98x | Live order books 2026-10-05</t>
  </si>
  <si>
    <t xml:space="preserve">Lower of Price-free: fees (30-day average) -10.9% (D, borderline) and Native-token: protocol TVL in SKY terms -37.7% (E) | DefiLlama, CoinGecko</t>
  </si>
  <si>
    <t xml:space="preserve">Blank: TradingView returns no sentiment or Galaxy Score for SKY | TradingView</t>
  </si>
  <si>
    <t xml:space="preserve">No ETF found (a Swedish ETP exists); no enforcement found | Web search 2026-10-05</t>
  </si>
  <si>
    <t xml:space="preserve">Protocol fees $26.9M in 30 days; SKY is the governance and staking token | DefiLlama; Wealthsimple</t>
  </si>
  <si>
    <t xml:space="preserve">No raise recorded for SKY; MKR (the predecessor token, converted 1:24,000) raised $54.5M in three seed rounds. Company-level and predecessor rounds counted | dropstab.com (maker)</t>
  </si>
  <si>
    <t xml:space="preserve">Market cap $2.05B | CoinGecko</t>
  </si>
  <si>
    <t xml:space="preserve">Market cap +64.1% in 90 days; +22.9% vs basket | CoinGecko history</t>
  </si>
  <si>
    <t xml:space="preserve">MC/FDV 0.70 (market cap $7.557B ÷ FDV $10.778B on the fixed 50.0B total supply; XLM has no max supply) | CoinGecko; TradingView FDV not retrieved (rate-limited 429), CoinGecko used | 2026-10-06</t>
  </si>
  <si>
    <t xml:space="preserve">PROXY (no forward unlock schedule; SDF releases from its mandate at its discretion): realized 90-day circulating-supply growth +2.7% (34.13B to 35.06B); +2.9% for the window ending 10-05. Borderline † (3% cut-off) | CoinGecko history; SDF dashboard | 2026-10-06</t>
  </si>
  <si>
    <t xml:space="preserve">SDF mandate 14.677B ÷ 50.002B total supply = 29.4%. Counts SDF mandate only; upgrade reserve 0.259B (0.5%) and fee pool excluded (including the reserve gives 29.9%, still C) | dashboard.stellar.org/api/v2/lumens | 2026-10-06</t>
  </si>
  <si>
    <t xml:space="preserve">Holders revenue $104,004 ÷ fees $5,084,063 (30 days) = 2.0%; fees above $1M a month so no cap. User decision 2026-10-06: use 2.0% | DefiLlama | 2026-10-06</t>
  </si>
  <si>
    <t xml:space="preserve">2% bid depth $2.016M = 20.2x $100K: Coinbase USD $1.063M + USDT $0.009M; Kraken $0.886M (500 levels); Binance.US USD $0.041M + USDT $0.017M | exchange order books | 2026-10-06 10:14 UTC</t>
  </si>
  <si>
    <t xml:space="preserve">Price-free: stablecoin supply on Stellar +9.1% ($834.7M to $910.8M) [B]. Native-token: chain TVL ÷ XLM price +9.1% (TVL $222.3M to $271.5M; price $0.1999 to $0.2239) [B]. Lower of the two = B; borderline † (within 1 pt of the +10% cut-off). News reported DeFi TVL falling $270M to $98M after the Aug 25 Comet exploit; the DefiLlama chain series does not show it, so the chain series is used | DefiLlama, stablecoins.llama.fi, CoinGecko | 2026-07-07 to 2026-10-05</t>
  </si>
  <si>
    <t xml:space="preserve">Sentiment 100% (step A) and Galaxy Score 58 (step C); mean of steps = B | TradingView; values supplied by the user because the screener returned 429 | 2026-10-06</t>
  </si>
  <si>
    <t xml:space="preserve">No direct loss of XLM itself found in 24 months (DefiLlama hacks matched by name and chain, then news). Third-party, listed for context and NOT graded (user decision 2026-10-06): Blend/YieldBlox pool ~$10.97M, 22 Feb 2026 (oracle manipulation; ~48M XLM frozen by validators); Comet DEX $717K, 25 Aug 2026 (below $1M, not a flag). CoinEx $55M (Sep 2023) is an exchange and outside the window | DefiLlama hacks; Rekt; Protos; CoinTurk | 2026-10-06</t>
  </si>
  <si>
    <t xml:space="preserve">SEC/CFTC joint interpretation of 2026-03-17 names Stellar (XLM) a digital commodity; no enforcement found. Only a futures-based ETF (STLR, Volatility Shares, 1 Apr 2026), no spot ETF | Pillsbury and DLA Piper summaries; SEC filings | 2026-10-06</t>
  </si>
  <si>
    <t xml:space="preserve">No mint key (fixed 50.0B supply). Upgrades and freezes need a validator quorum (CAP-77 Quorum Freeze, described as live by the SDF; validators froze ~48M XLM in Feb 2026). User decision 2026-10-06: grade B (validator-quorum governance); C (disclosed freeze) was the alternative | stellar.org blog; mexc/blockchain.news | 2026-10-06</t>
  </si>
  <si>
    <t xml:space="preserve">Yes: live cross-border payments and tokenized-asset rails; Stellar chain fees $5.08M (30 days), chain TVL $265M, stablecoins $915M | DefiLlama | 2026-10-06</t>
  </si>
  <si>
    <t xml:space="preserve">Total raised $5.02M (2.65B XLM sold: Stripe seed $3M for 2B XLM plus an early public auction). Sits $0.02M above the $5M C/D line; Stripe-only $3M would be D. User decision 2026-10-06: keep C | DropsTab | 2026-10-06</t>
  </si>
  <si>
    <t xml:space="preserve">Franklin Templeton (AUM $1.68T) runs the registered Franklin OnChain U.S. Government Money Fund (BENJI) on Stellar since 2021, live; PayPal PYUSD live on Stellar. Counted as production use of the network, not a holding of XLM | Franklin Templeton press release 2026-04-30; stellar.org | 2026-10-06</t>
  </si>
  <si>
    <t xml:space="preserve">Market cap $7.557B | CoinGecko | 2026-10-06</t>
  </si>
  <si>
    <t xml:space="preserve">Market cap +17.3% in 90 days vs top-20 basket +33.5% (recomputed 2026-10-06; XLM is itself a basket member, ex-XLM basket also +33.5%); relative -12.1%; borderline † (within 5 pts of the -10% cut-off) | CoinGecko history | 2026-10-06</t>
  </si>
  <si>
    <t xml:space="preserve">MC/FDV about 0.79 (best estimate): circulating about 11.8B ÷ 15.0B max supply = 0.786, within 0.01 of the 0.80 A cut-off. Floor 0.69 (circulating 10.4B; TradingView market cap $2.484B ÷ FDV $3.596B). CoinGecko shows 0.894 (market cap $3.222B ÷ FDV $3.605B) on 13.41B circulating, which appears to include StablecoinX's ~3.03B ENA. User decision 2026-10-06: StablecoinX's 3.03B is NOT counted as circulating because any sale needs prior written Ethena Foundation consent (filing: 5 business days' notice for funding sales and a Foundation first-purchase right). Best estimate = CoinGecko less 3.03B plus the 1.41B investor release of Oct 5 (unverified split). Both adjusted readings are B. | CoinGecko API; TradingView CRYPTO:ENAUSD; StablecoinX Form 8-K (2026-09-14); crypto.news; PANews | 2026-10-06</t>
  </si>
  <si>
    <t xml:space="preserve">Forward schedule (investor schedule ended by the Oct 5 acceleration): Core 93.75M + Foundation 40.64M + Ecosystem 53.55M = ~188M a month; three releases in the window (Nov 1-2, Dec 1-2, Jan 1-2) = ~564M = 4.8% of ~11.8B adjusted circulating (4.2% of CoinGecko 13.41B; 5.4% of the 10.4B floor). Without the Ecosystem tranche (Tokenomist: no published schedule) ~403M = 3.4%. C on both; D at the 10.4B floor with all three tranches. User decision 2026-10-06: C. DropsTab and Tokenomics.com calendars still show pre-Oct 5 data. StablecoinX 3.03B not counted as new supply. | DropsTab vesting page; Tokenomics.com unlock page; Tokenomist weekly digest 2026-09-06 | 2026-10-06</t>
  </si>
  <si>
    <t xml:space="preserve">Core Contributors 30% + Investors 25% + Foundation 15% = 70% (team, investors and Foundation, as the guide defines). Not counted: Ecosystem 30% (DAO multisig; 10% airdropped) and StablecoinX ~20% (third-party treasury company, Ethena-linked). Excluding the now fully unlocked investors would give 45% (D). | Tokenomist; Tokenomics.com; DropsTab; Ethena docs; Aragon Ownership Token Framework | 2026-10-06</t>
  </si>
  <si>
    <t xml:space="preserve">Holders revenue ÷ fees = 0%: DefiLlama returns no holders-revenue series for ethena-usde; 30-day fees $18.34M (above the $1M cap threshold). Fee switch passed governance (Snapshot, unanimous, early Sep 2026) but buybacks start only when the 14-day average USDe supply exceeds $7.5B; USDe is ~$4.75-4.95B, so nothing is paid out. Reports differ on the rate (95% of net revenue vs a 5-25% tiered levy). An older Tokenomics.com article (238 days old) saying the switch was live in Q1 2026 is contradicted by later sources and not used. | DefiLlama /summary/fees/ethena-usde; The Block; Techflow; CryptoTicker; Aragon OTF | 2026-10-06</t>
  </si>
  <si>
    <t xml:space="preserve">2% bid depth $897.8K = 8.98x $100K: Coinbase ENA-USD $446.1K + Kraken ENAUSD $444.5K + Binance.US ENAUSDT $7.2K (mid $0.2403; 2% mark reached on all three books). Within 1.02x of the A line. One-day snapshot. | Exchange order-book APIs (snapshot 2026-10-06 11:07 UTC) | 2026-10-06</t>
  </si>
  <si>
    <t xml:space="preserve">Price-free: ethena-usde 30-day fees $18.34M (ending 2026-10-05) vs $16.18M (ending 2026-07-07) = +13.3% [A]. Native-token: TVL ÷ ENA price: TVL $4.41B to $4.91B (+11.2%), ENA price $0.0783 to $0.2413 (+208%) = -63.9% [E]. Lower of the two = E. Borderline † (fee measure within 5 pts of the +10% cut-off). The native-token measure binds because the ENA price tripled. | DefiLlama protocol and fees series; CoinGecko history | 2026-10-06</t>
  </si>
  <si>
    <t xml:space="preserve">TradingView sentiment 33 (step E) and Galaxy Score 51.9 (step C); mean of steps = D. CoinGecko votes 66.7% bullish (also below 70). TradingView returned 429 on two attempts before succeeding. One-day snapshot. | TradingView CRYPTO:ENAUSD; CoinGecko API | 2026-10-06</t>
  </si>
  <si>
    <t xml:space="preserve">No direct loss of ENA or Ethena funds found in 24 months. DefiLlama /hacks has no Ethena entry; the only text match ('Arena SocialFi', Avalanche, 2023) is a false positive. Venue-level events listed for context, not graded: Oct 10, 2025 USDe fell to $0.65 on Binance (Binance's internal oracle; Binance compensated users); Sep 22, 2026 wick to $0.92 on Binance, recovered within minutes; Feb 2025 Bybit hack, Ethena exposure under $30M, no loss. No stablecoin depeg over 5% for over 24 hours, so no flag. | DefiLlama /hacks; Cointelegraph; Startup Fortune; Stablecoin Insider; CoinDesk | 2026-10-06</t>
  </si>
  <si>
    <t xml:space="preserve">No ENA-specific SEC/CFTC ruling, ETF filing or approval, commodity tag or enforcement found; general SEC framework only (the SEC release of 2026-03-17 names ether as a digital commodity; ENA not named in what was retrieved). Context, not graded (non-US): BaFin ordered Ethena's German entity to wind down USDe issuance (Apr 2025); USDe barred from the EU. Coinbase asset tag not retrievable. | Web searches; SEC filings; BeInCrypto | 2026-10-06</t>
  </si>
  <si>
    <t xml:space="preserve">D by user decision 2026-10-06 (concentration of control, not malice). Dev Multisig (5-of-11 onchain; docs say 4-of-8) owns the core contracts, no timelock; Snapshot votes are advisory and holders cannot elect or remove signers. ENA token is non-upgradeable but the owner can mint (max 10% of supply per mint, once per 365 days). sENA is an upgradeable proxy under the same multisig with no timelock and blacklist/seizure roles; rsENA multisig signers not publicly identified. StablecoinX ~3.03B ENA (~20%): any sale, transfer, lending, hedging or staking needs prior written Foundation consent; 5 business days' notice and a Foundation first-purchase right for funding sales. Mitigants (low rug-pull risk): USDe backing held with off-exchange settlement custodians (Copper, Ceffu, Anchorage and others), weekly proof of reserves, Anchorage monthly signed attestations, reserve fund ~$62M (2026-09-23); hedges still sit on centralized exchanges. No active governance proposal on multisig transparency or timelocks found (web search; governance forum not read directly). | Aragon OTF (updated 2026-04-08); docs.ethena.fi; StablecoinX 8-K; Upshift; ChainCatcher; crypto.news | 2026-10-06</t>
  </si>
  <si>
    <t xml:space="preserve">Yes: live USDe and USDtb products; DefiLlama Ethena USDe TVL $4.97B, 30-day fees $18.3M. ENA is the governance and staking (sENA) token (governance is advisory). Scored on the documented live product and the token's governance and staking role. | DefiLlama; CoinGecko; Ethena docs | 2026-10-06</t>
  </si>
  <si>
    <t xml:space="preserve">Total raised $182.5M per DropsTab: seed $6.5M (Jul 2023), seed extension $14M (Feb 2024), private sale $100M (Feb 2025), strategic $16M + $16M (Feb-Mar 2025) and $30M (Oct 2025, MEXC). One $16M round may be double-counted ($166.5M), still A. Company-level rounds count. StablecoinX PIPE not counted as an Ethena raise. Tokenomist page not retrieved. | DropsTab fundraising page | 2026-10-06</t>
  </si>
  <si>
    <t xml:space="preserve">A (user confirmed 2026-10-06): Anchorage Digital Bank (OCC-chartered) is the live US issuer of USDtb, whose reserves are held in BlackRock's BUIDL fund (DefiLlama USDtb TVL $488.6M). Counted as production use of the Ethena product, not a holding of ENA. Not counted: BlackRock Aladdin integration (announced by Ethena; BlackRock has not published a matching statement), Coinbase Ventures and Janus Henderson (investments), StablecoinX. A stricter reading would be E. | Ethena whitelabel and USDtb sites; DefiLlama; CoinDesk; BeInCrypto | 2026-10-06</t>
  </si>
  <si>
    <t xml:space="preserve">Market cap $3.222B (CoinGecko, includes StablecoinX); adjusted about $2.8B (11.8B × $0.2403). C either way. | CoinGecko | 2026-10-06</t>
  </si>
  <si>
    <t xml:space="preserve">Market cap $725.5M (2026-07-08) to $3,220.7M (2026-10-06) = +344% vs top-20 basket +33.5% (recomputed 2026-10-06, 20 coins in share_cfg.json); relative +233%. Includes unlocked supply (CoinGecko circulating 9.56B to 13.41B); the ENA price itself rose +208%, so price-only is still A. | CoinGecko history; share_cfg.json | 2026-10-06</t>
  </si>
  <si>
    <t xml:space="preserve">MC/FDV 0.70 (market cap $451.3M ÷ FDV $645.1M; circulating 699.49M of 1.0B; max supply = total supply). CoinGecko only: the TradingView FDV was not retrieved (429 on several tries). | CoinGecko API; TradingView 429 | 2026-10-07</t>
  </si>
  <si>
    <t xml:space="preserve">Forward schedule: 12.43M on Oct 28, about 12.4M on Nov 28, about 12.4M on Dec 28 (same tranche pattern: Contributors 6.11M + Foundation 2.61M + Future Incentives 2.71M + Router Rewards 1.0M a month) = about 37.3M = 5.3% of 699.5M circulating (D; 0.3 above the 5% line †). Realized-growth proxy not used (90-day circulating growth +10.7% would be E). DropsTab shows a conflicting 31.58M unlock "in 0 days" and 664M unlocked; judged inconsistent with the vesting terms and not used (even so about 8%, still D). CoinGecko circulating is about 13.7M above the Tokenomics.com unlocked figure (685.8M). | Tokenomics.com unlock schedule; DropsTab; CoinGecko history | 2026-10-07</t>
  </si>
  <si>
    <t xml:space="preserve">D by user decision 2026-10-07: counts Contributors (team) 22.0% + Early Investors 25.2% = 47.2%. Foundation &amp; Ecosystem 22.8% excluded (not a traditional insider); Community pools 30% (Future Incentives 17%, Airdrop One 10%, Router Rewards 3%) excluded. Counting the Foundation, as the guide wording and the NIGHT and ENA precedents do, would give 70% = E. | Tokenomics.com; DropsTab; user decision | 2026-10-07</t>
  </si>
  <si>
    <t xml:space="preserve">NOT scored (user decision: blank). DefiLlama has no fee or holders-revenue series for Grass (dummy module; /summary/fees/grass returns not found). Grass says revenue accrues to Foundation entities (Grass DataCo), not to holders. A revenue share for stakers was reported after the July 7 call, but the Grass recap of that call does not mention it and no payout percentage is published; Stage 2 USDC rewards go to node participants, not holders (not counted). 2025 buyback of about $350K (about 5% of Q2+Q3 2025 revenue, about $7M) is a one-off and stale. Counting it as D would give 58.8 (Weak) with L13 blank. | DefiLlama; grass.io July 7 recap; Grass holder call #1 (Nov 2025); Messari | 2026-10-07</t>
  </si>
  <si>
    <t xml:space="preserve">2% bid depth $405.7K = 4.06x $100K: Coinbase GRASS-USD $269.4K + Kraken GRASSUSD $136.3K (500 levels; the 2% mark was reached on both). Binance.US does not list GRASS. Mid price about $0.6485. | Exchange order-book APIs | 2026-10-07 11:54 UTC</t>
  </si>
  <si>
    <t xml:space="preserve">NOT scored: no usage series. DefiLlama lists Grass (DePIN, Solana) with no TVL and no fees, and no stablecoin-on-chain series applies. Company-reported revenue ($17.0M in 2025; H1 2026 $14.53M attested, $17-18M per Grass) is not a 90-day series and was not used. | DefiLlama /protocol/grass, /summary/fees/grass | 2026-10-07</t>
  </si>
  <si>
    <t xml:space="preserve">Galaxy Score 57 (step C) supplied by the user; sentiment is not available from TradingView (screener returned 429), so CoinGecko community votes 80.0% bullish were used as a flagged stand-in (step B, exactly on the 80% cut-off). Mean of steps B and C = 2.5, a half rounds down = C. Stays C for sentiment 75% to under 85%; B at 85% or more, D below 75%. CoinGecko votes are not the TradingView sentiment the guide specifies. | CoinGecko API; Galaxy Score from user; TradingView 429 | 2026-10-07</t>
  </si>
  <si>
    <t xml:space="preserve">No direct loss of GRASS or Grass network funds found in 24 months. DefiLlama /hacks has no Grass or Wynd entry (matched by name and chain, Solana). Not graded (third-party or look-alike): fake "Grass airdrop" phishing sites, the unrelated GrassCall malware campaign, and a Nov 2024 user-wallet theft through a look-alike plugin. | DefiLlama /hacks; PCrisk; GBHackers; SOCRadar; Medium | 2026-10-07</t>
  </si>
  <si>
    <t xml:space="preserve">No GRASS-specific SEC/CFTC ruling, ETF filing, commodity tag or enforcement found. Listed on Coinbase (spot trading began 2026-08-26) and Kraken. Grass paid its Season 2 airdrop in USDC citing regulatory uncertainty, and its staking terms warn of regulatory risk. Not a general-framework upgrade (guide: general SEC statements do not lift above C). | Web searches; Coinbase listing notices; Grass staking terms; airdrops.io | 2026-10-07</t>
  </si>
  <si>
    <t xml:space="preserve">C by user decision 2026-10-07. The mint authority is NOT revoked. It is vault 0 of a Squads v4 multisig (authority 31rYartQwHeBMjAe2MgGpffGV57fQY3kug4BDN8tLGqQ; multisig C9sTdCdun5UHmK3PG9u8A3Jf2i8KnPYCbgirnBvrGEzP): threshold 2 of 4, timelock 0, no external config authority, four unlabeled member keys. Freeze authority null. On-chain supply 999,992,818 (7,182 below 1B; the token has no on-chain cap). No on-chain governance program acts on the authority. Program upgrade authorities were not checked. The flag (team key, no timelock) was not applied: team control was not shown, and it could not lower the tier below Average/Decent. | Solana RPC mainnet-beta (getAccountInfo, Squads account data, transactions); grass-foundation.gitbook.io | 2026-10-07 12:26 UTC</t>
  </si>
  <si>
    <t xml:space="preserve">Yes: live product selling residential bandwidth and web data to AI labs. An independent attestation (Regen Financial) covers $32.1M of recorded revenue through Q2 2026, of which $27.6M traced to cash receipts; 6M+ contributors. GRASS is used for staking by delegation to routers and for governance. DefiLlama lists Grass (DePIN) with no fee or TVL series. | Regen Financial attestation as reported by KuCoin and CoinGabbar; grass.io July 7 recap; Grass staking docs; DefiLlama | 2026-10-07</t>
  </si>
  <si>
    <t xml:space="preserve">Total raised $13.5M per DropsTab: seed $3.5M (Dec 2023) + bridge round $10M (Oct 2025, mostly a token purchase; counted under the company-level rule). Series A (Sep 2024) amount undisclosed; the pre-seed $1M per press would bring the total to about $14.5M. Multicoin Capital invested on 2026-09-29, size undisclosed. Without the $10M bridge round the confirmed total is $4.5M (D). Grass says no equity financing since token genesis. | DropsTab fundraising page; crypto.news; Blockworks; Multicoin | 2026-10-07</t>
  </si>
  <si>
    <t xml:space="preserve">NOT scored (user decision 2026-10-07: blank). Grass says its customers include Fortune 100 enterprises "including members of the Magnificent Seven" and leading AI labs, but it does not disclose names; revenue is independently attested but the counterparties are unnamed. This does not meet the documented-production-use rule, and E (none found) would mislead. A was offered as a flagged user override and declined. | grass.io July 7 recap; Regen Financial attestation | 2026-10-07</t>
  </si>
  <si>
    <t xml:space="preserve">Market cap $451.3M | CoinGecko API | 2026-10-07</t>
  </si>
  <si>
    <t xml:space="preserve">Market cap +88.9% in 90 days ($239.3M on 2026-07-09 to $452.1M on 2026-10-07) vs top-20 basket +31.6% (recomputed 2026-10-07 from the 20 members in share_cfg.json) = relative +43.6%. Includes newly unlocked supply (circulating supply +10.7% in the period). | CoinGecko history; share_cfg.json | 2026-10-07</t>
  </si>
  <si>
    <t xml:space="preserve">COIN NOTES: the plain-language part of each report (what it does, biggest risk, open point, caps applied).</t>
  </si>
  <si>
    <t xml:space="preserve">What it does</t>
  </si>
  <si>
    <t xml:space="preserve">Biggest risk</t>
  </si>
  <si>
    <t xml:space="preserve">Open point</t>
  </si>
  <si>
    <t xml:space="preserve">Caps applied</t>
  </si>
  <si>
    <t xml:space="preserve">The first and largest cryptocurrency: a fixed-supply digital money network secured by proof-of-work mining.</t>
  </si>
  <si>
    <t xml:space="preserve">Security budget is almost all block subsidy (fees &lt;1% of miner revenue) with a mining-pool Nakamoto coefficient of 3.</t>
  </si>
  <si>
    <t xml:space="preserve">Line 8 graded on direct loss only; third-party incidents on Bitcoin (Coldcard ~$116M Jul 2026, and others) are listed in the evidence for context, not graded. Fragile: 90.3, only 0.3 above the Exceptional line.</t>
  </si>
  <si>
    <t xml:space="preserve">None</t>
  </si>
  <si>
    <t xml:space="preserve">A smart-contract platform on which applications, stablecoins and tokenized assets run; ETH pays fees and secures the network through staking.</t>
  </si>
  <si>
    <t xml:space="preserve">L1 fee revenue is down 69% YoY, so the valuation rests on adoption rather than cash flow.</t>
  </si>
  <si>
    <t xml:space="preserve">L6 usage is borderline (native-token TVL -10.2%; C if -9.9%); L12 counts the 2014 public ICO ($18.66M) by user decision; L7 sentiment supplied by user (TradingView 429).</t>
  </si>
  <si>
    <t xml:space="preserve">A high-throughput Layer 1 used for payments, trading and stablecoin settlement.</t>
  </si>
  <si>
    <t xml:space="preserve">Network revenue fell 87% in H1-26 as memecoin fees faded, and the decentralization data I found is 15 months old.</t>
  </si>
  <si>
    <t xml:space="preserve">A Layer 1 ledger built for fast payments and cross-border settlement, developed with Ripple.</t>
  </si>
  <si>
    <t xml:space="preserve">On-ledger fees are about $1.5M a year against a $94B market cap, and monthly escrow releases of up to 1B XRP weigh on supply.</t>
  </si>
  <si>
    <t xml:space="preserve">A sharded proof-of-stake Layer 1 (mainnet 2020) building chain abstraction and AI infrastructure; its NEAR Intents product routes cross-chain swaps.</t>
  </si>
  <si>
    <t xml:space="preserve">NEAR Intents lost $3.8M to an exploit on Oct 1 (funds reportedly returned), and gas fees are tiny against a $6B market cap.</t>
  </si>
  <si>
    <t xml:space="preserve">Post-mortem of the Oct 1 Intents exploit.</t>
  </si>
  <si>
    <t xml:space="preserve">Limited to Average/Decent: Material incident remediated within 90 days (Oct 1, 2026 exploit)</t>
  </si>
  <si>
    <t xml:space="preserve">A decentralized oracle network that delivers outside data and cross-chain messages to smart contracts.</t>
  </si>
  <si>
    <t xml:space="preserve">Staked LINK (~$0.65B) is about 0.6% of the $110B value secured, and 65% of supply is Labs-managed with no disclosed release schedule.</t>
  </si>
  <si>
    <t xml:space="preserve">The largest decentralized exchange: users swap tokens through shared liquidity pools.</t>
  </si>
  <si>
    <t xml:space="preserve">Protocol takes only ~9.5% of trading fees (Jan–Jul-26), and burn figures vary widely by source and week.</t>
  </si>
  <si>
    <t xml:space="preserve">The largest decentralized lending market: users deposit assets to earn interest and borrow against collateral.</t>
  </si>
  <si>
    <t xml:space="preserve">Gross protocol revenue fell 66% year on year, and the April rsETH incident showed risk-parameter and bad-debt exposure.</t>
  </si>
  <si>
    <t xml:space="preserve">Final close-out of the Kelp bad debt.</t>
  </si>
  <si>
    <t xml:space="preserve">A platform that tokenizes US Treasuries and stocks (OUSG, USDY, Ondo Global Markets); the ONDO token governs it.</t>
  </si>
  <si>
    <t xml:space="preserve">About half the supply is still locked, with a ~1.7B unlock (35% of circulating) on Jan 18, 2027, and ONDO carries no revenue or asset rights.</t>
  </si>
  <si>
    <t xml:space="preserve">A network of AI subnets that pay miners and validators for machine-learning work.</t>
  </si>
  <si>
    <t xml:space="preserve">Emissions worth ~$409M a year dwarf estimated external revenue of $1.3–10.5M, so activity is largely subsidized.</t>
  </si>
  <si>
    <t xml:space="preserve">The native token of Binance's BNB Chain and a fee-discount token on the Binance exchange.</t>
  </si>
  <si>
    <t xml:space="preserve">Binance remains under U.S. compliance monitors, and early-2026 reports of Iran-linked flows keep regulatory risk live.</t>
  </si>
  <si>
    <t xml:space="preserve">DOJ monitor status and US-venue depth.</t>
  </si>
  <si>
    <t xml:space="preserve">Limited to Average/Decent: Active enforcement: DOJ plea terms and monitor</t>
  </si>
  <si>
    <t xml:space="preserve">A decentralized network where GPU owners sell rendering and AI compute.</t>
  </si>
  <si>
    <t xml:space="preserve">Burns are only ~0.2% of market cap a year and protocol revenue is undisclosed, so demand is hard to size.</t>
  </si>
  <si>
    <t xml:space="preserve">A user-generated metaverse where people build and trade LAND and game assets.</t>
  </si>
  <si>
    <t xml:space="preserve">Last reported daily users were in the low hundreds, and 88% of supply was allocated to insiders, investors and company or foundation reserves.</t>
  </si>
  <si>
    <t xml:space="preserve">A privacy coin where every transaction is private by default.</t>
  </si>
  <si>
    <t xml:space="preserve">Regulated access is shrinking (Binance, OKX, Kraken EEA delisted; EU AMLR bars providers from July 2027) and FCMP++ is still on stressnet.</t>
  </si>
  <si>
    <t xml:space="preserve">A privacy coin with optional shielded transactions that use zero-knowledge proofs.</t>
  </si>
  <si>
    <t xml:space="preserve">Venue access can be removed by rule (EU AMLR from 10-Jul-2027), and the 2026 Orchard flaw shows hidden-inflation risk that cannot be fully excluded in shielded pools.</t>
  </si>
  <si>
    <t xml:space="preserve">Completion of the Orchard migration.</t>
  </si>
  <si>
    <t xml:space="preserve">Limited to Average/Decent: Material flaw remediated within 90 days (patched Jul 28, 2026)</t>
  </si>
  <si>
    <t xml:space="preserve">A proof-of-work coin that began as a joke and is used for tipping and payments.</t>
  </si>
  <si>
    <t xml:space="preserve">Fees are 0.06% of miner revenue, on-chain activity is down about 41% YoY, and one pool holds about 34% of hashrate.</t>
  </si>
  <si>
    <t xml:space="preserve">Limited to Average/Decent: Memecoin cap</t>
  </si>
  <si>
    <t xml:space="preserve">An Ethereum memecoin with an ecosystem around it (ShibaSwap, Shibarium Layer 2).</t>
  </si>
  <si>
    <t xml:space="preserve">Supply is concentrated (62.7% in ten addresses unadjusted) and the 2025 Shibarium key compromise shows weak operational security.</t>
  </si>
  <si>
    <t xml:space="preserve">A US-dollar stablecoin issued by Circle and backed by cash and Treasuries.</t>
  </si>
  <si>
    <t xml:space="preserve">Issuer freeze and mint controls are centralized by design, and a Wisconsin complaint over a refused seizure warrant is unresolved.</t>
  </si>
  <si>
    <t xml:space="preserve">Outcome of the Wisconsin complaint.</t>
  </si>
  <si>
    <t xml:space="preserve">The largest US-dollar stablecoin, issued by Tether and used for trading and transfers.</t>
  </si>
  <si>
    <t xml:space="preserve">Reserves include gold, about 98.9K BTC and $13.45B of secured loans (3.3× the $4.11B buffer), and S&amp;P rates peg stability 5 (weak).</t>
  </si>
  <si>
    <t xml:space="preserve">A proof-of-work payments coin launched in 2011 as a faster "silver to Bitcoin's gold".</t>
  </si>
  <si>
    <t xml:space="preserve">Security spend and usage depend on a subsidy and merged mining, with no verified growth.</t>
  </si>
  <si>
    <t xml:space="preserve">A high-performance blockchain built around an on-chain perpetual-futures exchange; HYPE pays fees and is staked.</t>
  </si>
  <si>
    <t xml:space="preserve">Team and foundation unlocks, a small validator set and oracle-manipulation incidents.</t>
  </si>
  <si>
    <t xml:space="preserve">A company-run platform (Overledger) that connects blockchains and bank systems; QNT is needed to license it.</t>
  </si>
  <si>
    <t xml:space="preserve">A July 2026 reserve-pool exploit through a single-key admin account, and an unverified +284% three-month rally.</t>
  </si>
  <si>
    <t xml:space="preserve">Cause of the +284% three-month move.</t>
  </si>
  <si>
    <t xml:space="preserve">A gaming-focused blockchain platform (Immutable zkEVM and the original Immutable X) for NFTs and game assets.</t>
  </si>
  <si>
    <t xml:space="preserve">US-venue depth of about 1× a $100K position, and weak usage.</t>
  </si>
  <si>
    <t xml:space="preserve">An ERC-20 token backed one-for-one by a fine troy ounce of London Good Delivery gold held by Paxos.</t>
  </si>
  <si>
    <t xml:space="preserve">Reliance on the issuer for custody, redemption and freezes, and unverified attestations.</t>
  </si>
  <si>
    <t xml:space="preserve">A modular blockchain oracle that delivers price data to DeFi apps across many chains.</t>
  </si>
  <si>
    <t xml:space="preserve">Competition from Chainlink and Pyth, small size, and unverified depth on US venues.</t>
  </si>
  <si>
    <t xml:space="preserve">The merged token of the ASI Alliance (Fetch.ai and SingularityNET, with CUDOS): decentralized AI agents and data.</t>
  </si>
  <si>
    <t xml:space="preserve">A $1.56M token-converter exploit on Sep 19, 2026 and the Ocean dispute over 286M FET.</t>
  </si>
  <si>
    <t xml:space="preserve">Post-mortem and fix for the Sep 19 converter exploit.</t>
  </si>
  <si>
    <t xml:space="preserve">Limited to Average/Decent: Material incident within 90 days (Sep 19, 2026 converter exploit, $1.56M; remediation not confirmed)</t>
  </si>
  <si>
    <t xml:space="preserve">The main automated market maker and token launchpad on Solana; RAY is staked and receives fee buybacks.</t>
  </si>
  <si>
    <t xml:space="preserve">A June 2026 legacy-pool exploit and multisig control without a timelock.</t>
  </si>
  <si>
    <t xml:space="preserve">A privacy-focused blockchain with selective disclosure, built by the Cardano team; NIGHT generates DUST, the fee resource.</t>
  </si>
  <si>
    <t xml:space="preserve">A July 2026 bridge exploit that took ~515M NIGHT, and an unproven new network.</t>
  </si>
  <si>
    <t xml:space="preserve">Follow-up on the Wanchain bridge exploit; sentiment and Galaxy Score could not be re-pulled (TradingView rate limit).</t>
  </si>
  <si>
    <t xml:space="preserve">Limited to Average/Decent: Material incident within 90 days (Jul 20, 2026 Wanchain bridge exploit, ~$9–10M)</t>
  </si>
  <si>
    <t xml:space="preserve">A platform for trading renewable energy peer to peer, with the POWR token used on its network.</t>
  </si>
  <si>
    <t xml:space="preserve">Minimal usage, small market cap and unverified liquidity.</t>
  </si>
  <si>
    <t xml:space="preserve">An Ethereum memecoin based on the Pepe the Frog meme, with no utility and no mint authority.</t>
  </si>
  <si>
    <t xml:space="preserve">Pure sentiment: a memecoin cycle turn and anonymous-team supply.</t>
  </si>
  <si>
    <t xml:space="preserve">The native token of Crypto.com's Cronos chain, used for fees, staking and exchange discounts.</t>
  </si>
  <si>
    <t xml:space="preserve">The $66–75M Tectonic exploit on Aug 30, 2026, a chain rollback by validators, and 70% of supply sitting in a company-controlled reserve.</t>
  </si>
  <si>
    <t xml:space="preserve">Post-mortem of the Tectonic exploit.</t>
  </si>
  <si>
    <t xml:space="preserve">Limited to Average/Decent: Material incident within 90 days (Aug 30, 2026 Tectonic exploit, $66–75M; chain state restored)</t>
  </si>
  <si>
    <t xml:space="preserve">A payments-focused blockchain whose lumen (XLM) pays network fees; Stellar hosts stablecoins, remittance rails and tokenized funds such as Franklin Templeton's BENJI.</t>
  </si>
  <si>
    <t xml:space="preserve">Third-party DeFi exploits on Stellar (Blend/YieldBlox $10.97M in Feb 2026, Comet $717K in Aug 2026), a foundation holding 29% of supply, and weak 90-day relative market-share growth.</t>
  </si>
  <si>
    <t xml:space="preserve">Score is 76.3, only 1.3 above the Strong line (75): L8 graded D (if Blend/YieldBlox counted) or L6 graded C would move XLM to Average/Decent; L12 D or L2 C would leave it exactly at 75.0 (still Strong). L7 inputs supplied by user.</t>
  </si>
  <si>
    <t xml:space="preserve">The governance and staking token of Ethena, a synthetic-dollar protocol (USDe, USDtb) backed by delta-hedged crypto and tokenized Treasuries held with off-exchange custodians.</t>
  </si>
  <si>
    <t xml:space="preserve">Control sits with a team multisig and Foundation consent rights over ~20% of supply (StablecoinX); 70% insider allocation; no payout to ENA holders until USDe supply passes $7.5B; ENA price up ~3x in 90 days.</t>
  </si>
  <si>
    <t xml:space="preserve">Score 57.5 is 2.5 below the Average/Decent line (Weak). Recheck CoinGecko vs TradingView circulating supply after the Oct 5 unlock (StablecoinX 3.03B excluded by user decision; L1 and L2 depend on it). L13 A rests on Anchorage/BUIDL; Aladdin integration not counted. L4 changes once USDe passes $7.5B (now ~$4.8B).</t>
  </si>
  <si>
    <t xml:space="preserve">The token of Grass, a Solana DePIN network where users sell unused internet bandwidth; its commercial arm sells web data to AI labs, with attested revenue of $32.1M through Q2 2026.</t>
  </si>
  <si>
    <t xml:space="preserve">Mint authority still active (Squads 2-of-4 multisig, timelock 0), 47% of supply held by team and early investors with monthly unlocks of about 1.7% of market cap, and revenue that accrues to Foundation entities rather than to holders.</t>
  </si>
  <si>
    <t xml:space="preserve">Score 60.9 is only 0.9 above the Weak line (60). L4, L6 and L13 are blank: a D or E on any of them moves GRASS to Weak (L6 = C gives 59.7). L7 uses CoinGecko votes as a stand-in for TradingView sentiment (429); L10 graded only on the mint authority (Squads 2-of-4, no timelock); upgrade authorities not checked.</t>
  </si>
  <si>
    <t xml:space="preserve">Usage line (L6) rule: final grade = the lower of the price-free measure and the native-token measure. Borderline (†) = within 5 points of a cut-off.</t>
  </si>
  <si>
    <t xml:space="preserve">Coin</t>
  </si>
  <si>
    <t xml:space="preserve">Price-free measure</t>
  </si>
  <si>
    <t xml:space="preserve">Price-free value %</t>
  </si>
  <si>
    <t xml:space="preserve">Price-free grade</t>
  </si>
  <si>
    <t xml:space="preserve">Native-token measure</t>
  </si>
  <si>
    <t xml:space="preserve">Native-token value %</t>
  </si>
  <si>
    <t xml:space="preserve">Native-token grade</t>
  </si>
  <si>
    <t xml:space="preserve">Final grade</t>
  </si>
  <si>
    <t xml:space="preserve">Borderline</t>
  </si>
  <si>
    <t xml:space="preserve">Previous grade</t>
  </si>
  <si>
    <t xml:space="preserve">stablecoin supply</t>
  </si>
  <si>
    <t xml:space="preserve">TVL in native token</t>
  </si>
  <si>
    <t xml:space="preserve">yes (†)</t>
  </si>
  <si>
    <t xml:space="preserve">fees in TAO terms</t>
  </si>
  <si>
    <t xml:space="preserve">fees (USD)</t>
  </si>
  <si>
    <t xml:space="preserve">fees in native token</t>
  </si>
  <si>
    <t xml:space="preserve">Not re-tested: DOGE (no fee series on DefiLlama; keeps its earlier grade). PAXG, PEPE, SAND, FET, QNT, NIGHT, RED, POWR, GRASS have no usage series. USDT/USDC use stablecoin supply. Fee series for BTC, LTC, XMR, ZEC are small (a few $K to ~$200K a day), so treat them as low-confidence.</t>
  </si>
  <si>
    <t xml:space="preserve">DECISIONS AND METHOD NOTES: every ruling made while building the system, so it is never asked twice.</t>
  </si>
  <si>
    <t xml:space="preserve">Topic / coin</t>
  </si>
  <si>
    <t xml:space="preserve">Decision or value</t>
  </si>
  <si>
    <t xml:space="preserve">Detail</t>
  </si>
  <si>
    <t xml:space="preserve">L11 Purpose (goal and soundness)</t>
  </si>
  <si>
    <t xml:space="preserve">10</t>
  </si>
  <si>
    <t xml:space="preserve">Yes/no: the token has a documented use other than trading, in a live product, backed by a named source (DefiLlama fee/TVL series, CoinGecko description). Yes = A, No = E. Blank where no source was retrieved.</t>
  </si>
  <si>
    <t xml:space="preserve">L12 Backers</t>
  </si>
  <si>
    <t xml:space="preserve">5</t>
  </si>
  <si>
    <t xml:space="preserve">Total raised from outside investors per DropsTab or Tokenomist: A &gt;=$100M, B $25-&lt;100M, C $5-&lt;25M, D &gt;$0-&lt;5M. NA where no raise is recorded (fair launches, money coins, memecoins, stablecoins). Blank where no raise page was found.</t>
  </si>
  <si>
    <t xml:space="preserve">L13 Adoption</t>
  </si>
  <si>
    <t xml:space="preserve">Yes/no: used or held by a government, central bank or major corporation in documented production use (not an MoU, pilot or ETF listing). Yes = A, No = E, blank = not yet researched.</t>
  </si>
  <si>
    <t xml:space="preserve">COIN</t>
  </si>
  <si>
    <t xml:space="preserve">L11 / L12 / L13 evidence</t>
  </si>
  <si>
    <t xml:space="preserve">L11 yes: DefiLlama Bitcoin chain fees $196K on 2026-10-04 (30-day average $240K a day). L12 NA: no raise recorded. L13 yes: US government holds ~328K BTC; Strategic Bitcoin Reserve created by Executive Order 14233, 6 Mar 2025 (bit.com, blockeden.xyz, The Block). Funded from seizures, no purchases yet. Counted as government holding (user decision 2026-10-05).</t>
  </si>
  <si>
    <t xml:space="preserve">ETH, SOL, BNB, XRP, NEAR, TAO, HYPE, CRO, IMX</t>
  </si>
  <si>
    <t xml:space="preserve">L11 yes: native fee/gas asset, DefiLlama chain fees and TVL retrieved 2026-10-05.</t>
  </si>
  <si>
    <t xml:space="preserve">LINK, UNI, AAVE, RAY, RENDER, ONDO</t>
  </si>
  <si>
    <t xml:space="preserve">L11 yes: DefiLlama protocol fees retrieved 2026-10-05 (holder revenue for UNI, AAVE, LINK, RAY).</t>
  </si>
  <si>
    <t xml:space="preserve">XMR, ZEC, LTC</t>
  </si>
  <si>
    <t xml:space="preserve">L11 yes: base payment asset with DefiLlama fee series (small: ~$0.4K-$3K/day for LTC, XMR, ZEC).</t>
  </si>
  <si>
    <t xml:space="preserve">USDC, USDT, PAXG</t>
  </si>
  <si>
    <t xml:space="preserve">L11 yes: payment/settlement stablecoins (DefiLlama supply); PAXG represents 1 oz of London Good Delivery gold (CoinGecko).</t>
  </si>
  <si>
    <t xml:space="preserve">L11 yes: CoinGecko describes SAND as the utility token for transactions in The Sandbox. No DefiLlama series.</t>
  </si>
  <si>
    <t xml:space="preserve">L11 NO: CoinGecko describes a meme token with no function; no DefiLlama protocol or chain.</t>
  </si>
  <si>
    <t xml:space="preserve">DOGE, SHIB</t>
  </si>
  <si>
    <t xml:space="preserve">Superseded: see 'DOGE, SHIB (purpose)' below (No, user decision 2026-10-05).</t>
  </si>
  <si>
    <t xml:space="preserve">FET, QNT, NIGHT, POWR, RED</t>
  </si>
  <si>
    <t xml:space="preserve">Backers (L12)</t>
  </si>
  <si>
    <t xml:space="preserve">SOL $359.7M, NEAR $656.7M, UNI $181.0M, SAND $121.9M, IMX $291.4M (A); AAVE $65.2M, FET $66.0M, ONDO $34.0M, LINK $32.0M, RENDER $30.0M (B); RED $22.5M (C). Source: Tokenomist 2026-10-05. BNB, XRP, QNT, NIGHT, POWR, CRO have no Tokenomist page: blank. ETH and RAY show $0 raise on Tokenomist: NA.</t>
  </si>
  <si>
    <t xml:space="preserve">L13 ADOPTION RESEARCH (2026-10-05)</t>
  </si>
  <si>
    <t xml:space="preserve">Rule: Yes only for documented production use or holding by a government, central bank or major company. Pilots, MoUs, ETFs and treasury purchases by small companies do not count.</t>
  </si>
  <si>
    <t xml:space="preserve">YES</t>
  </si>
  <si>
    <t xml:space="preserve">US government holds ~328K BTC; Strategic Bitcoin Reserve, Executive Order 14233, 6 Mar 2025 (bit.com, blockeden.xyz, The Block). Funded from seizures; no purchases yet. Counted as government holding (user decision 2026-10-05).</t>
  </si>
  <si>
    <t xml:space="preserve">JPMorgan tokenized money-market funds MONY (Dec 2025) and JLTXX (May 2026) on public Ethereum, ~$800M (cryptobriefing); BlackRock BUIDL, Fidelity and others.</t>
  </si>
  <si>
    <t xml:space="preserve">Visa settles USDC on Solana ($3.5B+ annualised), PayPal PYUSD, Fiserv FIUSD, Western Union USDPT (Messari data via mexc/Blockonomi, Feb-Mar 2026).</t>
  </si>
  <si>
    <t xml:space="preserve">YES (weak)</t>
  </si>
  <si>
    <t xml:space="preserve">SBI and some banks use Ripple On-Demand Liquidity (XRP as bridge); BBVA, DBS, DZ Bank, Intesa live on Ripple Custody. Most bank use is Ripple software, not XRP. Sources are crypto media.</t>
  </si>
  <si>
    <t xml:space="preserve">DTCC production tokenized collateral workflows; UBS in-production tokenized fund workflow; US Department of Commerce macro data on-chain (Chainlink blog, Crowdfund Insider). Partly self-reported.</t>
  </si>
  <si>
    <t xml:space="preserve">Visa data: ~70% of adjusted stablecoin settlement volume H1 2026; Visa/Stripe/BlackRock integrations (Cobo, Visa).</t>
  </si>
  <si>
    <t xml:space="preserve">BlackRock BUIDL is OUSG primary reserve; 6 May 2026 settlement across JPMorgan Kinexys, Mastercard MTN and XRPL; Franklin Templeton tokenized ETFs (Mar 2026).</t>
  </si>
  <si>
    <t xml:space="preserve">BlackRock BUIDL tradable on UniswapX since 11 Feb 2026; BlackRock bought UNI (Cointelegraph, Uniswap Labs release).</t>
  </si>
  <si>
    <t xml:space="preserve">Trump Media bought $105M of CRO and integrates it into Truth Social rewards (Blockworks). Related-party and treasury-style; borderline.</t>
  </si>
  <si>
    <t xml:space="preserve">TraceX integrated with ERCOT for renewable-energy certificates (2025); POWR is the licence token for the platform. Adoption is of the company software.</t>
  </si>
  <si>
    <t xml:space="preserve">NO</t>
  </si>
  <si>
    <t xml:space="preserve">Searched with other memecoins: no company or government use found.</t>
  </si>
  <si>
    <t xml:space="preserve">DOGE, SHIB, LTC</t>
  </si>
  <si>
    <t xml:space="preserve">BLANK</t>
  </si>
  <si>
    <t xml:space="preserve">AMC (2021-22 via BitPay) and Tesla (DOGE merchandise) accepted them; dated and current status not verified.</t>
  </si>
  <si>
    <t xml:space="preserve">Small Nasdaq companies hold BNB as treasury (not use); Bhutan government and DK Bank run Binance Pay for tourists (Binance product).</t>
  </si>
  <si>
    <t xml:space="preserve">Overledger used in Bank of England/BIS Project Rosalind (2023): a pilot, not production.</t>
  </si>
  <si>
    <t xml:space="preserve">Aave Horizon institutional RWA lending ~$550M (Apr 2026) but no named major institution in production; Project Guardian was a trial.</t>
  </si>
  <si>
    <t xml:space="preserve">Studio and Apple Vision Pro projects via OTOY; no confirmed named production contract.</t>
  </si>
  <si>
    <t xml:space="preserve">PAXG, USDT, TAO, NEAR, HYPE, IMX, RAY, SAND, XMR, ZEC, FET, NIGHT, RED</t>
  </si>
  <si>
    <t xml:space="preserve">Not researched or nothing found in this pass.</t>
  </si>
  <si>
    <t xml:space="preserve">DOGE, SHIB (purpose)</t>
  </si>
  <si>
    <t xml:space="preserve">Decision by user, 2026-10-05: no use beyond trading. L11 = E. L13 left blank (dated merchant acceptance only).</t>
  </si>
  <si>
    <t xml:space="preserve">USDT, PAXG</t>
  </si>
  <si>
    <t xml:space="preserve">USDT: Tether USAT launched Jan 2026 via Anchorage with Cantor Fitzgerald as custodian; no named major corporation or government using USDT found. PAXG: Paxos pitches banks, Nexo ($5M purchase) only; no major production use found.</t>
  </si>
  <si>
    <t xml:space="preserve">QNT (adoption, updated)</t>
  </si>
  <si>
    <t xml:space="preserve">The Clearing House (CHIPS, EPN, RTP; &gt;$2T a day) chose Quant to connect its On-Chain Money Initiative for tokenized deposits; 25 institutions incl. Citi, Bank of America, JPMorgan, Wells Fargo support the project (The Crypto Basic, 3 Oct 2026, relaying TCH posts on X). Caveats: not live until H1 2027; the adoption is of Quant's technology, and the article does not say QNT the token is used.</t>
  </si>
  <si>
    <t xml:space="preserve">L13 RECENT-NEWS SWEEP (2026-10-05)</t>
  </si>
  <si>
    <t xml:space="preserve">Aave Horizon, permissioned institutional RWA lending, in production: &gt;$600M net deposits and ~$200M borrowed, with Circle, Ripple, Franklin Templeton and VanEck among collateral suppliers (RWA Briefing, Aug 2026; Aave and DL News on launch).</t>
  </si>
  <si>
    <t xml:space="preserve">Securitize, a public company (SEC S-4/S-1 filings 2026), names RedStone as its primary oracle for tokenized funds from BlackRock (BUIDL), Apollo (ACRED), Hamilton Lane and VanEck. Caveat: adoption of the oracle service; token function not shown.</t>
  </si>
  <si>
    <t xml:space="preserve">30 Sep 2026: Hyperion DeFi, Anchorage Digital Bank (federally chartered) and HyperLend launched an institutional credit facility secured by staked HYPE held in qualified custody. Early; ETFs and treasury purchases not counted.</t>
  </si>
  <si>
    <t xml:space="preserve">Sweep found NEAR Intents volume and the 1 Oct exploit; no government or major-company production use found.</t>
  </si>
  <si>
    <t xml:space="preserve">AVAX (adoption lead)</t>
  </si>
  <si>
    <t xml:space="preserve">NOTE</t>
  </si>
  <si>
    <t xml:space="preserve">UAE TDRA (with Deca4 and Ava Labs) announced 14 Sep 2026 that UAE PASS Digital Vault (12.5M users) will use Avalanche technology, via a government-controlled L1. Not yet live. AVAX was added 2026-10-05; this is not yet production use, so L13 is not based on it.</t>
  </si>
  <si>
    <t xml:space="preserve">CURRENT WEIGHTS (100)</t>
  </si>
  <si>
    <t xml:space="preserve">L1 dilution 10; L2 new supply 5; L3 insiders 5; L4 holder value capture 5; L5 exit liquidity 10; L6 usage trend 10; L7 sentiment 5; L8 incidents 5; L9 regulatory 10; L10 admin control 5; L11 purpose 10; L12 backers 5; L13 adoption 5; L14 size 5; L15 market-share trend 5.</t>
  </si>
  <si>
    <t xml:space="preserve">L14 Size</t>
  </si>
  <si>
    <t xml:space="preserve">Market cap (CoinGecko, 2026-10-05): A &gt;=$100B, B $10B-&lt;100B, C $1B-&lt;10B, D $0.1B-&lt;1B, E &lt;$0.1B. Scored for all coins including stablecoins.</t>
  </si>
  <si>
    <t xml:space="preserve">L15 Market-share trend</t>
  </si>
  <si>
    <t xml:space="preserve">90-day change in dominance = coin market-cap growth relative to a top-20 market-cap basket (CoinGecko history; total-market history is paid). Cut-offs as for usage: A &gt;=+10%, B 0-10%, C -10-0%, D -30 to -10%, E &lt; -30%. NA for USDT, USDC, PAXG (their market cap follows supply, not price). Basket +33.5% over 90 days (about $2.08T to $2.78T).</t>
  </si>
  <si>
    <t xml:space="preserve">QNT (DropsTab, 2026-10-05)</t>
  </si>
  <si>
    <t xml:space="preserve">Backers: $26M raised in two 2018 token sales (Pre-TGE $15M, public sale $11M) plus a 2020 venture round (Alpha Sigma Capital, Alchemmy) -&gt; grade B ($25M to &lt;$100M). Purpose: QNT is the licence token for Overledger (annual licences and fees paid in QNT, e.g. 250 QNT per licence tier) -&gt; Yes, with the caveat that enterprises can use the APIs without touching the token. Supply: max 14.88M, circulating 12.07M, no public vesting schedule, so the new-supply line stays blank (about 2.8M unreleased with no schedule). Source: dropstab.com/es/coins/quant-network.</t>
  </si>
  <si>
    <t xml:space="preserve">NIGHT (2026-10-05 update)</t>
  </si>
  <si>
    <t xml:space="preserve">L3 C, L4 E, L9 C, L11 A, L12 NA</t>
  </si>
  <si>
    <t xml:space="preserve">L3: Foundation 35% only (TGE entity 15.3% excluded, user decision). L4 E: no fee payout by design (DUST). L9 C: no NIGHT-specific ruling; general SEC framework (March 2026 release, Aug 2026 proposal) per HSF Kramer; no enforcement found. L11 A: DUST/smart-contract utility (midnight.network blog; CoinGecko news). L12 NA: fair launch. L13 left blank by user (Monument Bank is an announcement; node operators not counted). CoinGecko: circulating 16.607B of 24B, MC/FDV 0.69. DropsTab "10B of 10B circulating, no vesting" judged stale and not used.</t>
  </si>
  <si>
    <t xml:space="preserve">Backers update (company-level rounds count, user decision 2026-10-05)</t>
  </si>
  <si>
    <t xml:space="preserve">XRP A, BNB B, POWR B, CRO A</t>
  </si>
  <si>
    <t xml:space="preserve">DropsTab raise totals: XRP $790.5M, BNB $35M, POWR $29.24M, CRO $426.2M. DropsTab has no vesting data for POWR (no schedule) or NIGHT (stale).</t>
  </si>
  <si>
    <t xml:space="preserve">L8 recheck (2026-10-05)</t>
  </si>
  <si>
    <t xml:space="preserve">See sheet "L8 recheck"</t>
  </si>
  <si>
    <t xml:space="preserve">Hack records re-checked against DefiLlama hacks by name and chain. False positives: BTC (Bitcoin Mission), ETH (Verus bridge), USDT (unrelated staking sites), HYPE (Hyperliquid Malaysia). LTC newly scored A. Open decisions: SHIB, SAND, AAVE. BTC (refresh 2026-10-05): third-party incidents on the Bitcoin chain (Coldcard ~$116M Jul 2026 and 12 others) are listed in the evidence table for context only; Line 8 stays A on the coin's own direct loss.</t>
  </si>
  <si>
    <t xml:space="preserve">New coins 2026-10-05 (AVAX, HBAR, CAKE, SKY)</t>
  </si>
  <si>
    <t xml:space="preserve">See Update 2026-10-05 sheet</t>
  </si>
  <si>
    <t xml:space="preserve">Method as for the other 31 coins. Supply line (line 2) uses realized 90-day circulating-supply growth because no forward unlock schedule was retrievable. Lines 10 (admin control) blank for all four.</t>
  </si>
  <si>
    <t xml:space="preserve">XLM (2026-10-06 new coin)</t>
  </si>
  <si>
    <t xml:space="preserve">Group: Chain / protocol. L1 B, L2 B (proxy), L3 C, L4 D, L5 A, L6 B†, L7 B, L8 A, L9 A, L10 B, L11 A, L12 C, L13 A, L14 C, L15 D†</t>
  </si>
  <si>
    <t xml:space="preserve">L3: SDF mandate only (29.4% of 50.0B total supply). L4: 2.0% (DefiLlama holders revenue ÷ fees, user decision). L7: sentiment 100% and Galaxy 58 supplied by the user from TradingView. L8: third-party app losses (Blend/YieldBlox, Comet) not graded. L10 B by user decision (validator-quorum governance; C was the alternative). L12: DropsTab $5.02M kept as C (Stripe-only $3M would be D). L13: Franklin Templeton BENJI fund live on Stellar. L15 basket +33.5% recomputed for 2026-10-06.</t>
  </si>
  <si>
    <t xml:space="preserve">ENA (2026-10-06 new coin)</t>
  </si>
  <si>
    <t xml:space="preserve">Group: Chain / protocol. L1 B, L2 C, L3 E, L4 E, L5 B, L6 E†, L7 D, L8 A, L9 C, L10 D, L11 A, L12 A, L13 A, L14 C, L15 A. Score 57.5, rating 5.8, coverage 100%, tier Weak (2.5 below the Average/Decent line).</t>
  </si>
  <si>
    <t xml:space="preserve">User decisions 2026-10-06: L1 B (StablecoinX's ~3.03B ENA not counted as circulating: Foundation written consent needed to sell); L2 C; L10 D (control concentrated in a team multisig and Foundation consent rights; low rug-pull risk, custody via off-exchange providers); L13 A (Anchorage issues USDtb, reserves in BlackRock BUIDL; Aladdin integration not counted). L3 counts Core Contributors 30% + Investors 25% + Foundation 15% = 70%. L4: fee switch approved but dormant until 14-day average USDe supply exceeds $7.5B (USDe ~$4.8B). L6: fees +13.3% [A] but TVL ÷ ENA price -63.9% [E]; lower = E. Open: recheck CoinGecko/TradingView circulating supply after the Oct 5 unlock.</t>
  </si>
  <si>
    <t xml:space="preserve">ETH (2026-10-06 refresh)</t>
  </si>
  <si>
    <t xml:space="preserve">Group: Chain / protocol. L1 A, L2 A (proxy), L3 A, L4 B, L5 A, L6 D†, L7 C, L8 A, L9 A, L10 A, L11 A, L12 C, L13 A, L14 A, L15 A. Score 86.3, rating 8.6, coverage 100%, tier Strong (previous 87.5).</t>
  </si>
  <si>
    <t xml:space="preserve">User decisions 2026-10-06: L3 A (Early Contributor &amp; Foundation 8.87% only; ICO buyers 44.31% not insiders; counting them would give E); L6 D† kept (native-token TVL -10.2% on date-matched points, -9.9% on the live price would be C); L7 C (sentiment 80%, Galaxy 45, supplied by user because TradingView returned 429); L12 C (DropsTab $18.66M 2014 public ICO counts, as for QNT; Tokenomist $0 tracks VC/vested allocations only; changed from NA). L4 uses the base-layer Ethereum series (32.4%); the all-apps chain aggregate gives 6.3%. L2 uses on-chain net supply growth +0.215% (CoinGecko history implies +1.18%, treated as an artifact). Basket recomputed +33.1% (2026-10-06).</t>
  </si>
  <si>
    <t xml:space="preserve">NIGHT/XRP/BNB/POWR/CRO update</t>
  </si>
  <si>
    <t xml:space="preserve">See change log in the scoring workbook. DropsTab: POWR has no vesting schedule; NIGHT page lists 10B of 10B circulating with no vesting, conflicting with CoinGecko (16.6B of 24B), so not used.</t>
  </si>
  <si>
    <t xml:space="preserve">L8 recheck</t>
  </si>
  <si>
    <t xml:space="preserve">Re-checked against DefiLlama hacks; see sheet "L8 recheck" in the scoring workbook. LTC newly scored A.</t>
  </si>
  <si>
    <t xml:space="preserve">AVAX, HBAR, CAKE, SKY added</t>
  </si>
  <si>
    <t xml:space="preserve">Four coins added (35 assets). See the scoring workbook change log for line-by-line evidence.</t>
  </si>
  <si>
    <t xml:space="preserve">XLM added</t>
  </si>
  <si>
    <t xml:space="preserve">One coin added (36 assets). See the scoring workbook change log for line-by-line evidence.</t>
  </si>
  <si>
    <t xml:space="preserve">ENA added</t>
  </si>
  <si>
    <t xml:space="preserve">One coin added (37 assets). Score 57.5, Weak. See the scoring workbook change log for line-by-line evidence.</t>
  </si>
  <si>
    <t xml:space="preserve">ETH refreshed</t>
  </si>
  <si>
    <t xml:space="preserve">ETH re-evaluated: L3 blank to A, L12 NA to C (2014 public ICO $18.66M per DropsTab, user decision), L7 now 80% / Galaxy 45 (C), L6 D† (borderline). Score 87.5 to 86.3, Strong, coverage 100%. See the scoring workbook change log for line-by-line evidence.</t>
  </si>
  <si>
    <t xml:space="preserve">GRASS (2026-10-07 new coin)</t>
  </si>
  <si>
    <t xml:space="preserve">Group: Chain / protocol. L1 B, L2 D†, L3 D, L4 blank, L5 C, L6 blank, L7 C, L8 A, L9 C, L10 C, L11 A, L12 C, L13 blank, L14 D, L15 A. Score 60.9, rating 6.1, coverage 80%, tier Average/Decent (0.9 above the Weak line).</t>
  </si>
  <si>
    <t xml:space="preserve">User decisions 2026-10-07: L3 D (Contributors 22% + Early Investors 25.2% = 47.2%; Foundation 22.8% excluded; counting it gives 70% = E); L4 blank (2025 buyback about $350K is stale; staker revenue share unconfirmed in primary sources; D would give 58.8 Weak); L7 C (Galaxy 57 supplied by the user; CoinGecko votes 80.0% used as a flagged stand-in because TradingView returned 429); L10 C (mint authority not revoked; Squads 2-of-4 multisig, timelock 0; program upgrade authorities not checked); L13 blank (customers unnamed; A offered as override and declined). L2: Tokenomics.com forward schedule (5.3%, 0.3 above the C/D line); DropsTab conflicting unlock figure not used. L12: $10M bridge round counted. L15 basket +31.6% recomputed for 2026-10-07. Fragility: score 60.9 sits 0.9 above the Weak line; a D or E on any of L4, L6, L13 would move GRASS to Weak (L6 = C gives 59.7).</t>
  </si>
  <si>
    <t xml:space="preserve">READ-ME NOTES FROM THE EVIDENCE TABLE</t>
  </si>
  <si>
    <t xml:space="preserve">Evidence note</t>
  </si>
  <si>
    <t xml:space="preserve">Sentiment (line 7) comes from the TradingView screener (sentiment % and Galaxy Score); NIGHT was missing.</t>
  </si>
  <si>
    <t xml:space="preserve">BTC evidence refreshed 2026-10-05 (no grade changes); Line 8 lists third-party incidents for context only.</t>
  </si>
  <si>
    <t xml:space="preserve">XLM added 2026-10-06: L7 sentiment 100% and Galaxy Score 58 were supplied by the user from TradingView (screener rate-limited); L8 third-party losses not graded; L10 B by user decision; L12 C kept by user decision.</t>
  </si>
  <si>
    <t xml:space="preserve">ENA added 2026-10-06: L1 B, L2 C, L10 D and L13 A by user decision (StablecoinX's ~3.03B ENA not counted as circulating because Foundation written consent is needed to sell); L7 from TradingView (sentiment 33, Galaxy 51.9); L8 venue-level USDe depegs not graded; no caps or flags.</t>
  </si>
  <si>
    <t xml:space="preserve">ETH refreshed 2026-10-06: L3 A (Foundation and early contributors 8.87%), L12 C (DropsTab $18.66M public ICO, user decision), L7 sentiment 80% / Galaxy 45 supplied by the user (TradingView 429), L6 D† borderline.</t>
  </si>
  <si>
    <t xml:space="preserve">GRASS added 2026-10-07: L3 D (Contributors + Early Investors 47.2%, Foundation excluded, user decision), L7 C (Galaxy 57 from the user; CoinGecko votes 80.0% as a flagged stand-in because TradingView returned 429), L10 C (Squads 2-of-4 mint authority, no timelock), L4, L6 and L13 blank. Score 60.9, Average/Decent, coverage 80%.</t>
  </si>
  <si>
    <t xml:space="preserve">GRASS added</t>
  </si>
  <si>
    <t xml:space="preserve">One coin added (38 assets). Score 60.9, Average/Decent, coverage 80% (0.9 above the Weak line). See the scoring workbook change log for line-by-line evidence. Blank by decision: L4, L13; no usage series: L6.</t>
  </si>
  <si>
    <t xml:space="preserve">LINE 8 RECHECK (2026-10-05)</t>
  </si>
  <si>
    <t xml:space="preserve">Hack records re-checked against DefiLlama by name and chain.</t>
  </si>
  <si>
    <t xml:space="preserve">Grade A: Consistent: none is the Bitcoin network's own direct loss; listed for context only</t>
  </si>
  <si>
    <t xml:space="preserve">DefiLlama: Chain=Bitcoin lists 13 third-party incidents (exchanges, wallets, bridges), largest Coldcard ~$116M Jul 2026 (wallet firmware flaw). 'Bitcoin Mission' $1.3M Apr 2025 is a false positive (a DeFi site) | Other: No network exploit, halt or loss found; CVE-2024-52911 (Bitcoin Core) disclosed May 2026, no consensus impact, no loss (2026-10-05) | Open decision: Decided 2026-10-05: third-party losses not graded; BTC stays A</t>
  </si>
  <si>
    <t xml:space="preserve">Grade A: Consistent; false positive</t>
  </si>
  <si>
    <t xml:space="preserve">DefiLlama: "Verus-Ethereum Bridge" $11.5M May 2026 and $7.5M Jul 2026 (Verus bridge, not Ethereum) | Other: No halts or exploits found | Open decision: -</t>
  </si>
  <si>
    <t xml:space="preserve">Grade A: Consistent</t>
  </si>
  <si>
    <t xml:space="preserve">DefiLlama: none | Other: No outage in 30 months | Open decision: -</t>
  </si>
  <si>
    <t xml:space="preserve">Grade C: Not in DefiLlama; grade rests on news</t>
  </si>
  <si>
    <t xml:space="preserve">DefiLlama: none | Other: xrpl.js supply-chain compromise Apr 2025 | Open decision: -</t>
  </si>
  <si>
    <t xml:space="preserve">Grade C: Consistent; flag runs 90 days from remediation</t>
  </si>
  <si>
    <t xml:space="preserve">DefiLlama: NEAR Intents $3.8M, 2026-10-01 | Other: Funds reportedly returned 2 Oct | Open decision: -</t>
  </si>
  <si>
    <t xml:space="preserve">Grade B: Consistent; the 2026 Moonwell oracle events deserve a check for Chainlink feed involvement</t>
  </si>
  <si>
    <t xml:space="preserve">DefiLlama: none | Other: Nov 2025 Moonwell feed glitch about $1M (DefiLlama lists Moonwell $1.0M 2025-11-04). DefiLlama also lists Moonwell oracle events of $1.78M (Feb 2026) and $8.7M (Aug 2026); DefiLlama does not attribute them to Chainlink, not checked further | Open decision: Were the 2026 Moonwell events caused by Chainlink feeds?</t>
  </si>
  <si>
    <t xml:space="preserve">DefiLlama: none | Other: Core contracts never exploited | Open decision: -</t>
  </si>
  <si>
    <t xml:space="preserve">Grade B (was C): Direct Aave loss at B level; C rests on Kelp bad debt, size not retrieved</t>
  </si>
  <si>
    <t xml:space="preserve">DefiLlama: Aave V3 $862K, 2026-03-12, fully returned; Kelp $293M 2026-04-18 (Kelp bridge spoof, Aave bad debt) | Other: Kelp bad debt Apr 2026, remediated | Open decision: Decided: B (user)</t>
  </si>
  <si>
    <t xml:space="preserve">DefiLlama: none | Other: No exploit found | Open decision: -</t>
  </si>
  <si>
    <t xml:space="preserve">Grade B: Consistent</t>
  </si>
  <si>
    <t xml:space="preserve">DefiLlama: none | Other: Jul 2024 theft outside window | Open decision: -</t>
  </si>
  <si>
    <t xml:space="preserve">DefiLlama: none | Other: Oct 2022 bridge outside window | Open decision: -</t>
  </si>
  <si>
    <t xml:space="preserve">Grade C: Loss differs ($675K vs ~$1.5M). The guide lists unbacked minting as a Cap 4 (Weak) trigger; evidence says resolved</t>
  </si>
  <si>
    <t xml:space="preserve">DefiLlama: The Sandbox $675K, 2026-08-22 (access control; Base, BSC, Ethereum) | Other: Aug 2026 bridge exploit, 14.9B unbacked mint, ~$1.5M loss; contracts retired, refunds | Open decision: Decided: no Cap 4 (user)</t>
  </si>
  <si>
    <t xml:space="preserve">DefiLlama: none | Other: Qubic reorgs 2025, no funds lost | Open decision: -</t>
  </si>
  <si>
    <t xml:space="preserve">DefiLlama: none | Other: Orchard flaw patched Jul 28, no loss | Open decision: -</t>
  </si>
  <si>
    <t xml:space="preserve">DefiLlama: none | Other: Node crash Dec 2024, patched | Open decision: -</t>
  </si>
  <si>
    <t xml:space="preserve">Grade C: Both amounts fall in grade C, but the guide scores unremediated incidents E</t>
  </si>
  <si>
    <t xml:space="preserve">DefiLlama: Shibarium $4.1M, 2025-09-13 (validator key compromise); no funds returned recorded | Other: Evidence says $2.4M, "not fully remediated" | Open decision: Decided: C (user)</t>
  </si>
  <si>
    <t xml:space="preserve">Grade A: Consistent; false positives</t>
  </si>
  <si>
    <t xml:space="preserve">DefiLlama: two unrelated "USDT" staking sites (not Tether) | Other: No loss &gt;$10M | Open decision: -</t>
  </si>
  <si>
    <t xml:space="preserve">Grade C (new): Newly scored C (was blank)</t>
  </si>
  <si>
    <t xml:space="preserve">DefiLlama: "Litecoin" Apr 2026, amount blank | Other: MWEB exploit Mar 2026 (85,034 LTC pegged out) and Apr 25 reorg; patched | Open decision: Confirm the loss was not larger or unrecovered</t>
  </si>
  <si>
    <t xml:space="preserve">Grade C: Not in DefiLlama by name; grade rests on news</t>
  </si>
  <si>
    <t xml:space="preserve">DefiLlama: "Hyperliquid Malaysia" (unrelated wallet) | Other: POPCAT Nov 2025 ~$4.9M bad debt and JELLY; remediated | Open decision: -</t>
  </si>
  <si>
    <t xml:space="preserve">Grade B: Amount and grade consistent; date differs (Apr vs Jul)</t>
  </si>
  <si>
    <t xml:space="preserve">DefiLlama: Quant $138K, 2026-04-28 | Other: Evidence dates the drain 28 Jul 2026 (~55 ETH) | Open decision: Decided: OK (user)</t>
  </si>
  <si>
    <t xml:space="preserve">DefiLlama: none | Other: No exploit found in news search | Open decision: -</t>
  </si>
  <si>
    <t xml:space="preserve">DefiLlama: none | Other: Feb 2026 Stellar exploit used another oracle | Open decision: -</t>
  </si>
  <si>
    <t xml:space="preserve">Grade C: Consistent; remediation not confirmed (open investigation)</t>
  </si>
  <si>
    <t xml:space="preserve">DefiLlama: Fetch.ai $1.53M, 2026-09-19 (private key compromise) | Other: $1.56M drained, conversions paused, investigation open | Open decision: Decided: C (user)</t>
  </si>
  <si>
    <t xml:space="preserve">Grade C: Consistent</t>
  </si>
  <si>
    <t xml:space="preserve">DefiLlama: Raydium AMM $1.34M, 2026-06-10 | Other: Retired legacy AMM; treasury reimburses | Open decision: -</t>
  </si>
  <si>
    <t xml:space="preserve">Grade C: Right at the C/D boundary ($10M); within 90 days, so the flag applies</t>
  </si>
  <si>
    <t xml:space="preserve">DefiLlama: Wanchain $10.0M, 2026-07-21 (signature flaw) | Other: ~515M NIGHT (~$9-10M) drained via Wanchain bridge 20 Jul; Midnight says its network was not compromised | Open decision: -</t>
  </si>
  <si>
    <t xml:space="preserve">DefiLlama: none | Other: No hack found | Open decision: -</t>
  </si>
  <si>
    <t xml:space="preserve">DefiLlama: none | Other: No incident; immutable token | Open decision: -</t>
  </si>
  <si>
    <t xml:space="preserve">Grade D: Both above $10M, grade D; amounts differ; within 90 days, so the flag applies</t>
  </si>
  <si>
    <t xml:space="preserve">DefiLlama: Tectonic $124.5M, 2026-08-30 (Cronos) | Other: $66-75M per BleepingComputer; chain halted and state restored | Open decision: -</t>
  </si>
  <si>
    <t xml:space="preserve">Grade A: Consistent: not XLM's own direct loss; listed for context only. Comet ($717K) is under $1M, so no 90-day flag</t>
  </si>
  <si>
    <t xml:space="preserve">DefiLlama: Blend Pools V2 (YieldBlox) $10.97M, 2026-02-22, chain Stellar; CometDEX $717K, 2026-08-25, chain Stellar. CoinEx $55M Sep 2023 is outside 24 months and an exchange | Other: Rekt, Protos, CoinTurk: both are apps on Stellar; validators froze ~48M XLM in the February case. No loss of XLM's own protocol found | Open decision: Decided 2026-10-06: third-party losses not graded; XLM stays A</t>
  </si>
  <si>
    <t xml:space="preserve">Grade A: Consistent: no direct loss of ENA/Ethena funds; venue events listed for context, not graded (2026-10-06)</t>
  </si>
  <si>
    <t xml:space="preserve">DefiLlama: none (no Ethena entry; text match 'Arena SocialFi', Avalanche 2023, is a false positive) | Other: Venue-level events only: USDe $0.65 on Binance Oct 10, 2025 (Binance oracle); $0.92 wick Sep 22, 2026; Bybit hack Feb 2025, Ethena exposure &lt;$30M, no loss | Open decision: -</t>
  </si>
  <si>
    <t xml:space="preserve">CHANGE LOG: one dated line per grade change or evidence update, newest first. New findings go here (this replaces the research log in the reports).</t>
  </si>
  <si>
    <t xml:space="preserve">Date</t>
  </si>
  <si>
    <t xml:space="preserve">Old grade</t>
  </si>
  <si>
    <t xml:space="preserve">New grade</t>
  </si>
  <si>
    <t xml:space="preserve">Value / evidence</t>
  </si>
  <si>
    <t xml:space="preserve">Source</t>
  </si>
  <si>
    <t xml:space="preserve">2026-10-08</t>
  </si>
  <si>
    <t xml:space="preserve">All</t>
  </si>
  <si>
    <t xml:space="preserve">-</t>
  </si>
  <si>
    <t xml:space="preserve">V7: Schedule tab added (first run: 14 held coins every 13 weeks, 24 others every 26 weeks, 2 coins a week; first reviews week of 2026-10-12). No grade changed.</t>
  </si>
  <si>
    <t xml:space="preserve">Restructure</t>
  </si>
  <si>
    <t xml:space="preserve">V6.1: GRASS added (38 coins), from Lean_Scoring_Workbook_V5_2_2026-10-07_GRASS and Lean_Evidence_Table_2026-10-07_GRASS; ETH Last evaluated corrected to 2026-10-07 (its refresh snapshots were taken 2026-10-07 00:16 UTC). No other grade changed.</t>
  </si>
  <si>
    <t xml:space="preserve">Update</t>
  </si>
  <si>
    <t xml:space="preserve">MC/FDV 0.70 (market cap $451.3M ÷ FDV $645.1M; circulating 699.49M of 1.0B; max supply = total supply). CoinGecko only: the TradingView FDV was not retrieved (429 on several tries).</t>
  </si>
  <si>
    <t xml:space="preserve">CoinGecko API; TradingView 429 | 2026-10-07</t>
  </si>
  <si>
    <t xml:space="preserve">Forward schedule: 12.43M on Oct 28, about 12.4M on Nov 28, about 12.4M on Dec 28 (same tranche pattern: Contributors 6.11M + Foundation 2.61M + Future Incentives 2.71M + Router Rewards 1.0M a month) = about 37.3M = 5.3% of 699.5M circulating (D; 0.3 above the 5% line †). Realized-growth proxy not used (90-day circulating growth +10.7% would be E). DropsTab shows a conflicting 31.58M unlock "in 0 days" and 664M unlocked; judged inconsistent with the vesting terms and not used (even so about 8%, still D). CoinGecko circulating is about 13.7M above the Tokenomics.com unlocked figure (685.8M).</t>
  </si>
  <si>
    <t xml:space="preserve">Tokenomics.com unlock schedule; DropsTab; CoinGecko history | 2026-10-07</t>
  </si>
  <si>
    <t xml:space="preserve">D by user decision 2026-10-07: counts Contributors (team) 22.0% + Early Investors 25.2% = 47.2%. Foundation &amp; Ecosystem 22.8% excluded (not a traditional insider); Community pools 30% (Future Incentives 17%, Airdrop One 10%, Router Rewards 3%) excluded. Counting the Foundation, as the guide wording and the NIGHT and ENA precedents do, would give 70% = E.</t>
  </si>
  <si>
    <t xml:space="preserve">Tokenomics.com; DropsTab; user decision | 2026-10-07</t>
  </si>
  <si>
    <t xml:space="preserve">NOT scored (user decision: blank). DefiLlama has no fee or holders-revenue series for Grass (dummy module; /summary/fees/grass returns not found). Grass says revenue accrues to Foundation entities (Grass DataCo), not to holders. A revenue share for stakers was reported after the July 7 call, but the Grass recap of that call does not mention it and no payout percentage is published; Stage 2 USDC rewards go to node participants, not holders (not counted). 2025 buyback of about $350K (about 5% of Q2+Q3 2025 revenue, about $7M) is a one-off and stale. Counting it as D would give 58.8 (Weak) with L13 blank.</t>
  </si>
  <si>
    <t xml:space="preserve">DefiLlama; grass.io July 7 recap; Grass holder call #1 (Nov 2025); Messari | 2026-10-07</t>
  </si>
  <si>
    <t xml:space="preserve">2% bid depth $405.7K = 4.06x $100K: Coinbase GRASS-USD $269.4K + Kraken GRASSUSD $136.3K (500 levels; the 2% mark was reached on both). Binance.US does not list GRASS. Mid price about $0.6485.</t>
  </si>
  <si>
    <t xml:space="preserve">Exchange order-book APIs | 2026-10-07 11:54 UTC</t>
  </si>
  <si>
    <t xml:space="preserve">NOT scored: no usage series. DefiLlama lists Grass (DePIN, Solana) with no TVL and no fees, and no stablecoin-on-chain series applies. Company-reported revenue ($17.0M in 2025; H1 2026 $14.53M attested, $17-18M per Grass) is not a 90-day series and was not used.</t>
  </si>
  <si>
    <t xml:space="preserve">DefiLlama /protocol/grass, /summary/fees/grass | 2026-10-07</t>
  </si>
  <si>
    <t xml:space="preserve">Galaxy Score 57 (step C) supplied by the user; sentiment is not available from TradingView (screener returned 429), so CoinGecko community votes 80.0% bullish were used as a flagged stand-in (step B, exactly on the 80% cut-off). Mean of steps B and C = 2.5, a half rounds down = C. Stays C for sentiment 75% to under 85%; B at 85% or more, D below 75%. CoinGecko votes are not the TradingView sentiment the guide specifies.</t>
  </si>
  <si>
    <t xml:space="preserve">CoinGecko API; Galaxy Score from user; TradingView 429 | 2026-10-07</t>
  </si>
  <si>
    <t xml:space="preserve">No direct loss of GRASS or Grass network funds found in 24 months. DefiLlama /hacks has no Grass or Wynd entry (matched by name and chain, Solana). Not graded (third-party or look-alike): fake "Grass airdrop" phishing sites, the unrelated GrassCall malware campaign, and a Nov 2024 user-wallet theft through a look-alike plugin.</t>
  </si>
  <si>
    <t xml:space="preserve">DefiLlama /hacks; PCrisk; GBHackers; SOCRadar; Medium | 2026-10-07</t>
  </si>
  <si>
    <t xml:space="preserve">No GRASS-specific SEC/CFTC ruling, ETF filing, commodity tag or enforcement found. Listed on Coinbase (spot trading began 2026-08-26) and Kraken. Grass paid its Season 2 airdrop in USDC citing regulatory uncertainty, and its staking terms warn of regulatory risk. Not a general-framework upgrade (guide: general SEC statements do not lift above C).</t>
  </si>
  <si>
    <t xml:space="preserve">Web searches; Coinbase listing notices; Grass staking terms; airdrops.io | 2026-10-07</t>
  </si>
  <si>
    <t xml:space="preserve">C by user decision 2026-10-07. The mint authority is NOT revoked. It is vault 0 of a Squads v4 multisig (authority 31rYartQwHeBMjAe2MgGpffGV57fQY3kug4BDN8tLGqQ; multisig C9sTdCdun5UHmK3PG9u8A3Jf2i8KnPYCbgirnBvrGEzP): threshold 2 of 4, timelock 0, no external config authority, four unlabeled member keys. Freeze authority null. On-chain supply 999,992,818 (7,182 below 1B; the token has no on-chain cap). No on-chain governance program acts on the authority. Program upgrade authorities were not checked. The flag (team key, no timelock) was not applied: team control was not shown, and it could not lower the tier below Average/Decent.</t>
  </si>
  <si>
    <t xml:space="preserve">Solana RPC mainnet-beta (getAccountInfo, Squads account data, transactions); grass-foundation.gitbook.io | 2026-10-07 12:26 UTC</t>
  </si>
  <si>
    <t xml:space="preserve">Yes: live product selling residential bandwidth and web data to AI labs. An independent attestation (Regen Financial) covers $32.1M of recorded revenue through Q2 2026, of which $27.6M traced to cash receipts; 6M+ contributors. GRASS is used for staking by delegation to routers and for governance. DefiLlama lists Grass (DePIN) with no fee or TVL series.</t>
  </si>
  <si>
    <t xml:space="preserve">Regen Financial attestation as reported by KuCoin and CoinGabbar; grass.io July 7 recap; Grass staking docs; DefiLlama | 2026-10-07</t>
  </si>
  <si>
    <t xml:space="preserve">Total raised $13.5M per DropsTab: seed $3.5M (Dec 2023) + bridge round $10M (Oct 2025, mostly a token purchase; counted under the company-level rule). Series A (Sep 2024) amount undisclosed; the pre-seed $1M per press would bring the total to about $14.5M. Multicoin Capital invested on 2026-09-29, size undisclosed. Without the $10M bridge round the confirmed total is $4.5M (D). Grass says no equity financing since token genesis.</t>
  </si>
  <si>
    <t xml:space="preserve">DropsTab fundraising page; crypto.news; Blockworks; Multicoin | 2026-10-07</t>
  </si>
  <si>
    <t xml:space="preserve">NOT scored (user decision 2026-10-07: blank). Grass says its customers include Fortune 100 enterprises "including members of the Magnificent Seven" and leading AI labs, but it does not disclose names; revenue is independently attested but the counterparties are unnamed. This does not meet the documented-production-use rule, and E (none found) would mislead. A was offered as a flagged user override and declined.</t>
  </si>
  <si>
    <t xml:space="preserve">grass.io July 7 recap; Regen Financial attestation | 2026-10-07</t>
  </si>
  <si>
    <t xml:space="preserve">Market cap $451.3M</t>
  </si>
  <si>
    <t xml:space="preserve">CoinGecko API | 2026-10-07</t>
  </si>
  <si>
    <t xml:space="preserve">Market cap +88.9% in 90 days ($239.3M on 2026-07-09 to $452.1M on 2026-10-07) vs top-20 basket +31.6% (recomputed 2026-10-07 from the 20 members in share_cfg.json) = relative +43.6%. Includes newly unlocked supply (circulating supply +10.7% in the period).</t>
  </si>
  <si>
    <t xml:space="preserve">CoinGecko history; share_cfg.json | 2026-10-07</t>
  </si>
  <si>
    <t xml:space="preserve">V6: scoring workbook and evidence table merged into Crypto Analysis V6.xlsx; legacy sheets removed (old 10-line Score sheet, old Batch columns, legacy point values); no grade changed. Note fixes: L12 definition: source aligned with the procedure (DropsTab or Tokenomist); DOGE/SHIB purpose: unresolved note marked superseded; DOGE/SHIB purpose: 'L11 = M' corrected to 'L11 = E'; AVAX note: 'not in this project's universe' corrected.</t>
  </si>
  <si>
    <t xml:space="preserve">MC/FDV 0.70 (market cap $7.557B ÷ FDV $10.778B on the fixed 50.0B total supply; XLM has no max supply)</t>
  </si>
  <si>
    <t xml:space="preserve">CoinGecko; TradingView FDV not retrieved (rate-limited 429), CoinGecko used | 2026-10-06</t>
  </si>
  <si>
    <t xml:space="preserve">PROXY (no forward unlock schedule; SDF releases from its mandate at its discretion): realized 90-day circulating-supply growth +2.7% (34.13B to 35.06B); +2.9% for the window ending 10-05. Borderline † (3% cut-off)</t>
  </si>
  <si>
    <t xml:space="preserve">CoinGecko history; SDF dashboard | 2026-10-06</t>
  </si>
  <si>
    <t xml:space="preserve">SDF mandate 14.677B ÷ 50.002B total supply = 29.4%. Counts SDF mandate only; upgrade reserve 0.259B (0.5%) and fee pool excluded (including the reserve gives 29.9%, still C)</t>
  </si>
  <si>
    <t xml:space="preserve">dashboard.stellar.org/api/v2/lumens | 2026-10-06</t>
  </si>
  <si>
    <t xml:space="preserve">Holders revenue $104,004 ÷ fees $5,084,063 (30 days) = 2.0%; fees above $1M a month so no cap. User decision 2026-10-06: use 2.0%</t>
  </si>
  <si>
    <t xml:space="preserve">DefiLlama | 2026-10-06</t>
  </si>
  <si>
    <t xml:space="preserve">2% bid depth $2.016M = 20.2x $100K: Coinbase USD $1.063M + USDT $0.009M; Kraken $0.886M (500 levels); Binance.US USD $0.041M + USDT $0.017M</t>
  </si>
  <si>
    <t xml:space="preserve">exchange order books | 2026-10-06 10:14 UTC</t>
  </si>
  <si>
    <t xml:space="preserve">Sentiment 100% (step A) and Galaxy Score 58 (step C); mean of steps = B</t>
  </si>
  <si>
    <t xml:space="preserve">TradingView; values supplied by the user because the screener returned 429 | 2026-10-06</t>
  </si>
  <si>
    <t xml:space="preserve">No direct loss of XLM itself found in 24 months (DefiLlama hacks matched by name and chain, then news). Third-party, listed for context and NOT graded (user decision 2026-10-06): Blend/YieldBlox pool ~$10.97M, 22 Feb 2026 (oracle manipulation; ~48M XLM frozen by validators); Comet DEX $717K, 25 Aug 2026 (below $1M, not a flag). CoinEx $55M (Sep 2023) is an exchange and outside the window</t>
  </si>
  <si>
    <t xml:space="preserve">DefiLlama hacks; Rekt; Protos; CoinTurk | 2026-10-06</t>
  </si>
  <si>
    <t xml:space="preserve">SEC/CFTC joint interpretation of 2026-03-17 names Stellar (XLM) a digital commodity; no enforcement found. Only a futures-based ETF (STLR, Volatility Shares, 1 Apr 2026), no spot ETF</t>
  </si>
  <si>
    <t xml:space="preserve">Pillsbury and DLA Piper summaries; SEC filings | 2026-10-06</t>
  </si>
  <si>
    <t xml:space="preserve">No mint key (fixed 50.0B supply). Upgrades and freezes need a validator quorum (CAP-77 Quorum Freeze, described as live by the SDF; validators froze ~48M XLM in Feb 2026). User decision 2026-10-06: grade B (validator-quorum governance); C (disclosed freeze) was the alternative</t>
  </si>
  <si>
    <t xml:space="preserve">stellar.org blog; mexc/blockchain.news | 2026-10-06</t>
  </si>
  <si>
    <t xml:space="preserve">Yes: live cross-border payments and tokenized-asset rails; Stellar chain fees $5.08M (30 days), chain TVL $265M, stablecoins $915M</t>
  </si>
  <si>
    <t xml:space="preserve">Total raised $5.02M (2.65B XLM sold: Stripe seed $3M for 2B XLM plus an early public auction). Sits $0.02M above the $5M C/D line; Stripe-only $3M would be D. User decision 2026-10-06: keep C</t>
  </si>
  <si>
    <t xml:space="preserve">DropsTab | 2026-10-06</t>
  </si>
  <si>
    <t xml:space="preserve">Franklin Templeton (AUM $1.68T) runs the registered Franklin OnChain U.S. Government Money Fund (BENJI) on Stellar since 2021, live; PayPal PYUSD live on Stellar. Counted as production use of the network, not a holding of XLM</t>
  </si>
  <si>
    <t xml:space="preserve">Franklin Templeton press release 2026-04-30; stellar.org | 2026-10-06</t>
  </si>
  <si>
    <t xml:space="preserve">Market cap $7.557B</t>
  </si>
  <si>
    <t xml:space="preserve">CoinGecko | 2026-10-06</t>
  </si>
  <si>
    <t xml:space="preserve">Market cap +17.3% in 90 days vs top-20 basket +33.5% (recomputed 2026-10-06; XLM is itself a basket member, ex-XLM basket also +33.5%); relative -12.1%; borderline † (within 5 pts of the -10% cut-off)</t>
  </si>
  <si>
    <t xml:space="preserve">CoinGecko history | 2026-10-06</t>
  </si>
  <si>
    <t xml:space="preserve">MC/FDV about 0.79 (best estimate): circulating about 11.8B ÷ 15.0B max supply = 0.786, within 0.01 of the 0.80 A cut-off. Floor 0.69 (circulating 10.4B; TradingView market cap $2.484B ÷ FDV $3.596B). CoinGecko shows 0.894 (market cap $3.222B ÷ FDV $3.605B) on 13.41B circulating, which appears to include StablecoinX's ~3.03B ENA. User decision 2026-10-06: StablecoinX's 3.03B is NOT counted as circulating because any sale needs prior written Ethena Foundation consent (filing: 5 business days' notice for funding sales and a Foundation first-purchase right). Best estimate = CoinGecko less 3.03B plus the 1.41B investor release of Oct 5 (unverified split). Both adjusted readings are B.</t>
  </si>
  <si>
    <t xml:space="preserve">CoinGecko API; TradingView CRYPTO:ENAUSD; StablecoinX Form 8-K (2026-09-14); crypto.news; PANews | 2026-10-06</t>
  </si>
  <si>
    <t xml:space="preserve">Forward schedule (investor schedule ended by the Oct 5 acceleration): Core 93.75M + Foundation 40.64M + Ecosystem 53.55M = ~188M a month; three releases in the window (Nov 1-2, Dec 1-2, Jan 1-2) = ~564M = 4.8% of ~11.8B adjusted circulating (4.2% of CoinGecko 13.41B; 5.4% of the 10.4B floor). Without the Ecosystem tranche (Tokenomist: no published schedule) ~403M = 3.4%. C on both; D at the 10.4B floor with all three tranches. User decision 2026-10-06: C. DropsTab and Tokenomics.com calendars still show pre-Oct 5 data. StablecoinX 3.03B not counted as new supply.</t>
  </si>
  <si>
    <t xml:space="preserve">DropsTab vesting page; Tokenomics.com unlock page; Tokenomist weekly digest 2026-09-06 | 2026-10-06</t>
  </si>
  <si>
    <t xml:space="preserve">Core Contributors 30% + Investors 25% + Foundation 15% = 70% (team, investors and Foundation, as the guide defines). Not counted: Ecosystem 30% (DAO multisig; 10% airdropped) and StablecoinX ~20% (third-party treasury company, Ethena-linked). Excluding the now fully unlocked investors would give 45% (D).</t>
  </si>
  <si>
    <t xml:space="preserve">Tokenomist; Tokenomics.com; DropsTab; Ethena docs; Aragon Ownership Token Framework | 2026-10-06</t>
  </si>
  <si>
    <t xml:space="preserve">Holders revenue ÷ fees = 0%: DefiLlama returns no holders-revenue series for ethena-usde; 30-day fees $18.34M (above the $1M cap threshold). Fee switch passed governance (Snapshot, unanimous, early Sep 2026) but buybacks start only when the 14-day average USDe supply exceeds $7.5B; USDe is ~$4.75-4.95B, so nothing is paid out. Reports differ on the rate (95% of net revenue vs a 5-25% tiered levy). An older Tokenomics.com article (238 days old) saying the switch was live in Q1 2026 is contradicted by later sources and not used.</t>
  </si>
  <si>
    <t xml:space="preserve">DefiLlama /summary/fees/ethena-usde; The Block; Techflow; CryptoTicker; Aragon OTF | 2026-10-06</t>
  </si>
  <si>
    <t xml:space="preserve">2% bid depth $897.8K = 8.98x $100K: Coinbase ENA-USD $446.1K + Kraken ENAUSD $444.5K + Binance.US ENAUSDT $7.2K (mid $0.2403; 2% mark reached on all three books). Within 1.02x of the A line. One-day snapshot.</t>
  </si>
  <si>
    <t xml:space="preserve">Exchange order-book APIs (snapshot 2026-10-06 11:07 UTC) | 2026-10-06</t>
  </si>
  <si>
    <t xml:space="preserve">Price-free: ethena-usde 30-day fees $18.34M (ending 2026-10-05) vs $16.18M (ending 2026-07-07) = +13.3% [A]. Native-token: TVL ÷ ENA price: TVL $4.41B to $4.91B (+11.2%), ENA price $0.0783 to $0.2413 (+208%) = -63.9% [E]. Lower of the two = E. Borderline † (fee measure within 5 pts of the +10% cut-off). The native-token measure binds because the ENA price tripled.</t>
  </si>
  <si>
    <t xml:space="preserve">DefiLlama protocol and fees series; CoinGecko history | 2026-10-06</t>
  </si>
  <si>
    <t xml:space="preserve">TradingView sentiment 33 (step E) and Galaxy Score 51.9 (step C); mean of steps = D. CoinGecko votes 66.7% bullish (also below 70). TradingView returned 429 on two attempts before succeeding. One-day snapshot.</t>
  </si>
  <si>
    <t xml:space="preserve">TradingView CRYPTO:ENAUSD; CoinGecko API | 2026-10-06</t>
  </si>
  <si>
    <t xml:space="preserve">No direct loss of ENA or Ethena funds found in 24 months. DefiLlama /hacks has no Ethena entry; the only text match ('Arena SocialFi', Avalanche, 2023) is a false positive. Venue-level events listed for context, not graded: Oct 10, 2025 USDe fell to $0.65 on Binance (Binance's internal oracle; Binance compensated users); Sep 22, 2026 wick to $0.92 on Binance, recovered within minutes; Feb 2025 Bybit hack, Ethena exposure under $30M, no loss. No stablecoin depeg over 5% for over 24 hours, so no flag.</t>
  </si>
  <si>
    <t xml:space="preserve">DefiLlama /hacks; Cointelegraph; Startup Fortune; Stablecoin Insider; CoinDesk | 2026-10-06</t>
  </si>
  <si>
    <t xml:space="preserve">No ENA-specific SEC/CFTC ruling, ETF filing or approval, commodity tag or enforcement found; general SEC framework only (the SEC release of 2026-03-17 names ether as a digital commodity; ENA not named in what was retrieved). Context, not graded (non-US): BaFin ordered Ethena's German entity to wind down USDe issuance (Apr 2025); USDe barred from the EU. Coinbase asset tag not retrievable.</t>
  </si>
  <si>
    <t xml:space="preserve">Web searches; SEC filings; BeInCrypto | 2026-10-06</t>
  </si>
  <si>
    <t xml:space="preserve">D by user decision 2026-10-06 (concentration of control, not malice). Dev Multisig (5-of-11 onchain; docs say 4-of-8) owns the core contracts, no timelock; Snapshot votes are advisory and holders cannot elect or remove signers. ENA token is non-upgradeable but the owner can mint (max 10% of supply per mint, once per 365 days). sENA is an upgradeable proxy under the same multisig with no timelock and blacklist/seizure roles; rsENA multisig signers not publicly identified. StablecoinX ~3.03B ENA (~20%): any sale, transfer, lending, hedging or staking needs prior written Foundation consent; 5 business days' notice and a Foundation first-purchase right for funding sales. Mitigants (low rug-pull risk): USDe backing held with off-exchange settlement custodians (Copper, Ceffu, Anchorage and others), weekly proof of reserves, Anchorage monthly signed attestations, reserve fund ~$62M (2026-09-23); hedges still sit on centralized exchanges. No active governance proposal on multisig transparency or timelocks found (web search; governance forum not read directly).</t>
  </si>
  <si>
    <t xml:space="preserve">Aragon OTF (updated 2026-04-08); docs.ethena.fi; StablecoinX 8-K; Upshift; ChainCatcher; crypto.news | 2026-10-06</t>
  </si>
  <si>
    <t xml:space="preserve">Yes: live USDe and USDtb products; DefiLlama Ethena USDe TVL $4.97B, 30-day fees $18.3M. ENA is the governance and staking (sENA) token (governance is advisory). Scored on the documented live product and the token's governance and staking role.</t>
  </si>
  <si>
    <t xml:space="preserve">DefiLlama; CoinGecko; Ethena docs | 2026-10-06</t>
  </si>
  <si>
    <t xml:space="preserve">Total raised $182.5M per DropsTab: seed $6.5M (Jul 2023), seed extension $14M (Feb 2024), private sale $100M (Feb 2025), strategic $16M + $16M (Feb-Mar 2025) and $30M (Oct 2025, MEXC). One $16M round may be double-counted ($166.5M), still A. Company-level rounds count. StablecoinX PIPE not counted as an Ethena raise. Tokenomist page not retrieved.</t>
  </si>
  <si>
    <t xml:space="preserve">DropsTab fundraising page | 2026-10-06</t>
  </si>
  <si>
    <t xml:space="preserve">A (user confirmed 2026-10-06): Anchorage Digital Bank (OCC-chartered) is the live US issuer of USDtb, whose reserves are held in BlackRock's BUIDL fund (DefiLlama USDtb TVL $488.6M). Counted as production use of the Ethena product, not a holding of ENA. Not counted: BlackRock Aladdin integration (announced by Ethena; BlackRock has not published a matching statement), Coinbase Ventures and Janus Henderson (investments), StablecoinX. A stricter reading would be E.</t>
  </si>
  <si>
    <t xml:space="preserve">Ethena whitelabel and USDtb sites; DefiLlama; CoinDesk; BeInCrypto | 2026-10-06</t>
  </si>
  <si>
    <t xml:space="preserve">Market cap $3.222B (CoinGecko, includes StablecoinX); adjusted about $2.8B (11.8B × $0.2403). C either way.</t>
  </si>
  <si>
    <t xml:space="preserve">Market cap $725.5M (2026-07-08) to $3,220.7M (2026-10-06) = +344% vs top-20 basket +33.5% (recomputed 2026-10-06, 20 coins in share_cfg.json); relative +233%. Includes unlocked supply (CoinGecko circulating 9.56B to 13.41B); the ENA price itself rose +208%, so price-only is still A.</t>
  </si>
  <si>
    <t xml:space="preserve">CoinGecko history; share_cfg.json | 2026-10-06</t>
  </si>
  <si>
    <t xml:space="preserve">MC/FDV 1.00 (market cap $329.4B = FDV; no max supply)</t>
  </si>
  <si>
    <t xml:space="preserve">CoinGecko API; DropsTab (FDV = market cap) | 2026-10-06</t>
  </si>
  <si>
    <t xml:space="preserve">Net supply +0.215% over 90 days (121,844,832 ETH on 2026-07-08 to 122,106,290 on 2026-10-07 00:16 UTC); protocol issuance ~1.08M ETH a year (~0.22% per 90 days). PROXY: realized on-chain growth, no unlock schedule. CoinGecko circulating history implies +1.18% (would be B) but looks like a data artifact; on-chain series used</t>
  </si>
  <si>
    <t xml:space="preserve">ultrasound.money API | 2026-10-06</t>
  </si>
  <si>
    <t xml:space="preserve">Early Contributor &amp; Foundation 8.87% of supply (A, &lt;=15%). Counted: genesis allocation to early contributors and the Ethereum Foundation (~12M of the 72M genesis ETH: 3M Foundation endowment, 6M to 85 contributors, 3M developer purchase program). Not counted: ICO participants 44.31% (public crowdsale buyers, not insiders), PoW rewards 37.16%, staking rewards 9.66%. If ICO buyers were counted insiders would be 53.2% (</t>
  </si>
  <si>
    <t xml:space="preserve">Tokenomist; The Block; Galaxy | 2026-10-06</t>
  </si>
  <si>
    <t xml:space="preserve">32.4% of base-layer fees burned: holders revenue $5.45M ÷ fees $16.82M, 30 days to 2026-10-06 (fees above $1M, no cap). The all-apps chain aggregate (overview/fees/ethereum) gives 6.3% ($21.9M of $345.5M, D); base-layer series used, as in the earlier 31.9%</t>
  </si>
  <si>
    <t xml:space="preserve">DefiLlama /summary/fees/ethereum | 2026-10-06</t>
  </si>
  <si>
    <t xml:space="preserve">276.6x: 2% bid depth $27.66M = Coinbase ETH-USD $12.66M + Kraken ETHUSD $13.57M (500 levels) + Binance.US ETHUSD $0.76M + ETHUSDT $0.66M (mid ~$2,698.6; 2% mark reached on all four books). One-day snapshot (540.9x on 2026-10-05)</t>
  </si>
  <si>
    <t xml:space="preserve">Exchange order-book APIs, snapshot 2026-10-07 00:1x UTC | 2026-10-06</t>
  </si>
  <si>
    <t xml:space="preserve">Price-free: stablecoin supply on Ethereum $152.39B to $147.30B = -3.3% [C]. Native-token: chain TVL $39.39B to $54.11B (+37.4%) ÷ ETH price $1,771 to $2,710 (daily points) = -10.2% [D]; against the live price -9.9% [C], and -9.5% to -10.6% across neighbouring days. Lower of the two = D. Borderline † (within 5 pts of the -10% cut-off)</t>
  </si>
  <si>
    <t xml:space="preserve">DefiLlama stablecoins and chain TVL; CoinGecko history | 2026-10-06</t>
  </si>
  <si>
    <t xml:space="preserve">TradingView sentiment 80% (step B) and Galaxy Score 45 (step D), supplied by the user 2026-10-06; mean of steps = C (no half step). Claude's four TradingView attempts returned 429. CoinGecko votes 81.1% bullish for context only. One-day snapshot (stored 2026-10-05: 79% / 62.3, C)</t>
  </si>
  <si>
    <t xml:space="preserve">TradingView via user; CoinGecko API | 2026-10-06</t>
  </si>
  <si>
    <t xml:space="preserve">No direct loss of ETH in 24 months. DefiLlama /hacks has no entry named Ethereum; 47 entries list the Ethereum chain, all apps, exchanges, wallets or bridges (e.g. Bybit $1.4B Feb 2025, Kelp $293M Apr 2026, Balancer V2 $128M Nov 2025, Bitget Sep 2026), listed for context, not graded. Verus-Ethereum Bridge is a Verus-chain bridge (false positive). Protocol context, no funds lost: Prysm v7.0.0 bug after the Fusaka upgr</t>
  </si>
  <si>
    <t xml:space="preserve">DefiLlama /hacks; news (low-quality reposts) | 2026-10-06</t>
  </si>
  <si>
    <t xml:space="preserve">Spot ETH ETFs approved (Jul 2024); staking ETFs live (Grayscale Oct 2025, BlackRock ETHB Mar 2026); SEC/CFTC joint interpretive release of 2026-03-17 names ETH among 16 digital commodities; no SEC/CFTC/DOJ enforcement against ETH found. Sources are mostly secondary (crypto media, law-firm notes); Coinbase asset tag not retrieved</t>
  </si>
  <si>
    <t xml:space="preserve">Web searches | 2026-10-06</t>
  </si>
  <si>
    <t xml:space="preserve">No admin, mint or upgrade key. Protocol changes are made off-chain through the EIP process and client-team rough consensus (not token voting); the Ethereum Foundation does not control upgrades. Judgment: social-layer concentration among client teams is not an admin path</t>
  </si>
  <si>
    <t xml:space="preserve">ethereum.org governance; EIP process write-ups | 2026-10-06</t>
  </si>
  <si>
    <t xml:space="preserve">Yes: native gas and staking asset of a live network. DefiLlama Ethereum chain fees $345.5M and base-layer fees $16.8M (30 days); chain TVL $54.1B</t>
  </si>
  <si>
    <t xml:space="preserve">$18.66M raised in the 2014 public ICO (60M ETH at ~$0.31; ~31,591 BTC); DropsTab lists no named investors, no lock-up. C ($5M to &lt;$25M). User decision 2026-10-06: a public crowdsale counts, as for QNT's token sales. Tokenomist shows $0 (it tracks VC rounds and vested allocations). Changed from NA</t>
  </si>
  <si>
    <t xml:space="preserve">JPMorgan Asset Management runs two tokenized money market funds on public Ethereum: MONY (launched 15 Dec 2025, qualified investors) and JLTXX (13 May 2026), about $800M combined by early Jul 2026; BlackRock BUIDL, Franklin Templeton and Fidelity also on-chain. Counted as production use of the network, not a holding of ETH (as for SOL, LINK, XLM)</t>
  </si>
  <si>
    <t xml:space="preserve">Crypto Briefing; Unchained; The Next Web | 2026-10-06</t>
  </si>
  <si>
    <t xml:space="preserve">Market cap $329.4B</t>
  </si>
  <si>
    <t xml:space="preserve">CoinGecko API | 2026-10-06</t>
  </si>
  <si>
    <t xml:space="preserve">Market cap $213.8B (2026-07-08) to $331.0B (2026-10-06) = +54.8% vs top-20 basket +33.1% (recomputed 2026-10-06 from the 20 coins in share_cfg.json; ETH is a basket member); relative +16.3%, 6 points above the A cut-off</t>
  </si>
  <si>
    <t xml:space="preserve">L6 usage trend</t>
  </si>
  <si>
    <t xml:space="preserve">Price-free: stablecoin supply on Stellar +9.1% ($834.7M to $910.8M) [B]. Native-token: chain TVL ÷ XLM price +9.1% (TVL $222.3M to $271.5M; price $0.1999 to $0.2239) [B]. Lower of the two = B; borderline † (within 1 pt of the +10% cut-off). News reported DeFi TVL falling $270M to $98M after the Aug 25 Comet exploit; the DefiLlama chain series does not show it, so the chain series is used</t>
  </si>
  <si>
    <t xml:space="preserve">DefiLlama, stablecoins.llama.fi, CoinGecko</t>
  </si>
  <si>
    <t xml:space="preserve">DefiLlama</t>
  </si>
  <si>
    <t xml:space="preserve">dropstab.com (stellar)</t>
  </si>
  <si>
    <t xml:space="preserve">Franklin Templeton press release 2026-04-30</t>
  </si>
  <si>
    <t xml:space="preserve">CoinGecko</t>
  </si>
  <si>
    <t xml:space="preserve">CoinGecko history</t>
  </si>
  <si>
    <t xml:space="preserve">DefiLlama protocol and fees series; CoinGecko history</t>
  </si>
  <si>
    <t xml:space="preserve">DefiLlama; CoinGecko; Ethena docs</t>
  </si>
  <si>
    <t xml:space="preserve">DropsTab fundraising page</t>
  </si>
  <si>
    <t xml:space="preserve">Ethena whitelabel and USDtb sites; DefiLlama; CoinDesk; BeInCrypto</t>
  </si>
  <si>
    <t xml:space="preserve">CoinGecko history; share_cfg.json</t>
  </si>
  <si>
    <t xml:space="preserve">L3 insider share</t>
  </si>
  <si>
    <t xml:space="preserve">Early Contributor &amp; Foundation 8.87% of supply (A, &lt;=15%). Counted: genesis allocation to early contributors and the Ethereum Foundation (~12M of the 72M genesis ETH: 3M Foundation endowment, 6M to 85 contributors, 3M developer purchase program). Not counted: ICO participants 44.31% (public crowdsale buyers, not insiders), PoW rewards 37.16%, staking rewards 9.66%. If ICO buyers were counted insiders would be 53.2% (E). User decision 2026-10-06: A</t>
  </si>
  <si>
    <t xml:space="preserve">Tokenomist, The Block, Galaxy</t>
  </si>
  <si>
    <t xml:space="preserve">DefiLlama, CoinGecko</t>
  </si>
  <si>
    <t xml:space="preserve">L7 sentiment</t>
  </si>
  <si>
    <t xml:space="preserve">TradingView via user; CoinGecko</t>
  </si>
  <si>
    <t xml:space="preserve">L12 backers</t>
  </si>
  <si>
    <t xml:space="preserve">DropsTab</t>
  </si>
  <si>
    <t xml:space="preserve">L14 size</t>
  </si>
  <si>
    <t xml:space="preserve">L15 market-share trend</t>
  </si>
  <si>
    <t xml:space="preserve">fees +39.3% (90d)</t>
  </si>
  <si>
    <t xml:space="preserve">DefiLlama 2026-10-05</t>
  </si>
  <si>
    <t xml:space="preserve">chain TVL +37.2% (90d)</t>
  </si>
  <si>
    <t xml:space="preserve">31.9% of fees burned</t>
  </si>
  <si>
    <t xml:space="preserve">DefiLlama 30-day fees vs holders revenue</t>
  </si>
  <si>
    <t xml:space="preserve">chain TVL +30.3% (90d)</t>
  </si>
  <si>
    <t xml:space="preserve">11.5% of fees burned</t>
  </si>
  <si>
    <t xml:space="preserve">XRPL DEX TVL +33.8% (90d)</t>
  </si>
  <si>
    <t xml:space="preserve">chain TVL +99.8% (90d)</t>
  </si>
  <si>
    <t xml:space="preserve">TVL +32.1% (90d)</t>
  </si>
  <si>
    <t xml:space="preserve">98.6% of fees to holders</t>
  </si>
  <si>
    <t xml:space="preserve">TVL +34.1% (90d)</t>
  </si>
  <si>
    <t xml:space="preserve">8.0% of fees to holders</t>
  </si>
  <si>
    <t xml:space="preserve">TVL +46.2% (90d)</t>
  </si>
  <si>
    <t xml:space="preserve">fees -0.6% (90d)</t>
  </si>
  <si>
    <t xml:space="preserve">chain TVL +1309% (90d)</t>
  </si>
  <si>
    <t xml:space="preserve">19.6x ($1.96M within 2%, Coinbase+Kraken+Binance.US)</t>
  </si>
  <si>
    <t xml:space="preserve">Live order books 2026-10-05</t>
  </si>
  <si>
    <t xml:space="preserve">BSC TVL +17.2% (90d)</t>
  </si>
  <si>
    <t xml:space="preserve">10.0% of fees burned</t>
  </si>
  <si>
    <t xml:space="preserve">BME fees +259% (90d), tiny base</t>
  </si>
  <si>
    <t xml:space="preserve">5.7x ($0.57M within 2%, Coinbase+Kraken+Binance.US)</t>
  </si>
  <si>
    <t xml:space="preserve">chain fees +35.0% (90d)</t>
  </si>
  <si>
    <t xml:space="preserve">chain fees +381% / TVL +79.5% (90d)</t>
  </si>
  <si>
    <t xml:space="preserve">chain fees +6.2% (90d)</t>
  </si>
  <si>
    <t xml:space="preserve">9.1x ($0.91M within 2%, Coinbase+Kraken+Binance.US)</t>
  </si>
  <si>
    <t xml:space="preserve">ShibaSwap TVL +43.2% (90d), tiny base</t>
  </si>
  <si>
    <t xml:space="preserve">supply +1.5% (90d)</t>
  </si>
  <si>
    <t xml:space="preserve">supply -0.2% (90d)</t>
  </si>
  <si>
    <t xml:space="preserve">chain fees +53.0% (90d), tiny base</t>
  </si>
  <si>
    <t xml:space="preserve">L1 TVL -18.8% (90d); note perps fees +23.7%</t>
  </si>
  <si>
    <t xml:space="preserve">zkEVM TVL +2.1% (90d), tiny base</t>
  </si>
  <si>
    <t xml:space="preserve">1.3x ($0.13M within 2%, Coinbase+Kraken)</t>
  </si>
  <si>
    <t xml:space="preserve">4.0x ($0.40M within 2%, Coinbase+Kraken)</t>
  </si>
  <si>
    <t xml:space="preserve">TVL +46.5% (90d)</t>
  </si>
  <si>
    <t xml:space="preserve">11.4x ($1.14M within 2%, Kraken)</t>
  </si>
  <si>
    <t xml:space="preserve">0.6x ($0.06M within 2%, Coinbase+Kraken)</t>
  </si>
  <si>
    <t xml:space="preserve">18.8x ($1.88M within 2%, Coinbase+Kraken+Binance.US)</t>
  </si>
  <si>
    <t xml:space="preserve">chain TVL -37.0% (90d)</t>
  </si>
  <si>
    <t xml:space="preserve">Galaxy Score 67.8 (user-supplied from TradingView, 2026-10-05); sentiment not available, so Galaxy step only</t>
  </si>
  <si>
    <t xml:space="preserve">User, TradingView</t>
  </si>
  <si>
    <t xml:space="preserve">Tokenomist: unlock schedule ended 2024, no upcoming unlocks (page updated 2026-10-05). Caveat: Tokenomist shows 48.6% circulating, mining reserve 34%</t>
  </si>
  <si>
    <t xml:space="preserve">Tokenomist 2026-10-05</t>
  </si>
  <si>
    <t xml:space="preserve">CoinGecko API community votes 90.3% bullish (user quoted 89%) + Galaxy 67.8. Sentiment step A, Galaxy step B, mean rounds down to B: no change. Note: CoinGecko votes are not the TradingView sentiment the guide specifies</t>
  </si>
  <si>
    <t xml:space="preserve">CoinGecko API 2026-10-05</t>
  </si>
  <si>
    <t xml:space="preserve">90-day TVL in native token terms -11.1% (dollar TVL +34.8%): price-neutral re-score</t>
  </si>
  <si>
    <t xml:space="preserve">DefiLlama TVL ÷ CoinGecko token price, 2026-10-05</t>
  </si>
  <si>
    <t xml:space="preserve">90-day TVL in native token terms -11.7% (dollar TVL +31.1%): price-neutral re-score</t>
  </si>
  <si>
    <t xml:space="preserve">90-day TVL in native token terms -13.8% (dollar TVL +14.5%): price-neutral re-score</t>
  </si>
  <si>
    <t xml:space="preserve">90-day TVL in native token terms -14.1% (dollar TVL +16.7%): price-neutral re-score</t>
  </si>
  <si>
    <t xml:space="preserve">90-day TVL in native token terms +869.9% (dollar TVL +1276.2%): price-neutral re-score</t>
  </si>
  <si>
    <t xml:space="preserve">90-day TVL in native token terms -18.9% (dollar TVL +94.3%): price-neutral re-score</t>
  </si>
  <si>
    <t xml:space="preserve">90-day TVL in native token terms -46.0% (dollar TVL -37.0%): price-neutral re-score</t>
  </si>
  <si>
    <t xml:space="preserve">90-day TVL in native token terms -27.1% (dollar TVL +48.0%): price-neutral re-score</t>
  </si>
  <si>
    <t xml:space="preserve">90-day TVL in native token terms -53.9% (dollar TVL +32.2%): price-neutral re-score</t>
  </si>
  <si>
    <t xml:space="preserve">90-day TVL in native token terms -25.0% (dollar TVL +33.2%): price-neutral re-score</t>
  </si>
  <si>
    <t xml:space="preserve">90-day TVL in native token terms -52.2% (dollar TVL +46.4%): price-neutral re-score</t>
  </si>
  <si>
    <t xml:space="preserve">90-day TVL in native token terms +7.5% (dollar TVL +45.0%): price-neutral re-score</t>
  </si>
  <si>
    <t xml:space="preserve">90-day TVL in native token terms -37.3% (dollar TVL -19.6%): price-neutral re-score</t>
  </si>
  <si>
    <t xml:space="preserve">90-day TVL in native token terms -20.4% (dollar TVL +1.6%): price-neutral re-score</t>
  </si>
  <si>
    <t xml:space="preserve">Excluding liquid-staking and receipt tokens (Syrup etc.): 90-day TVL in LINK terms -2.8% (-23.9% if only LSTs removed). Judgement-sensitive</t>
  </si>
  <si>
    <t xml:space="preserve">DefiLlama tokensInUsd ÷ CoinGecko price, 2026-10-05</t>
  </si>
  <si>
    <t xml:space="preserve">Excl. LSTs and receipts: native-token TVL -29.9% (-35.4% if only LSTs removed, which would be E). Grade kept at D, at the boundary</t>
  </si>
  <si>
    <t xml:space="preserve">UNI / RAY</t>
  </si>
  <si>
    <t xml:space="preserve">No complete token breakdown (UNI covers ~26% of TVL, RAY none), so the unadjusted native-token result stands</t>
  </si>
  <si>
    <t xml:space="preserve">Lower of fees in TAO terms -8.1% [C] and TVL in native token +869.9% [A] (borderline)</t>
  </si>
  <si>
    <t xml:space="preserve">DefiLlama + CoinGecko, 2026-10-05</t>
  </si>
  <si>
    <t xml:space="preserve">Lower of fees (USD) +20.9% [A] and fees in native token -6.9% [C] (borderline)</t>
  </si>
  <si>
    <t xml:space="preserve">Lower of fees (USD) +37.8% [A] and fees in native token -1.6% [C] (borderline)</t>
  </si>
  <si>
    <t xml:space="preserve">Lower of fees (USD) +38.3% [A] and fees in native token -16.9% [D]</t>
  </si>
  <si>
    <t xml:space="preserve">ALL</t>
  </si>
  <si>
    <t xml:space="preserve">Lcaps</t>
  </si>
  <si>
    <t xml:space="preserve">hard cap to Average/Decent</t>
  </si>
  <si>
    <t xml:space="preserve">memecoin: hard cap; other flags: at most one tier down</t>
  </si>
  <si>
    <t xml:space="preserve">Changed rule per user. No tier changes today because no flagged non-memecoin scores 90+</t>
  </si>
  <si>
    <t xml:space="preserve">Method decision</t>
  </si>
  <si>
    <t xml:space="preserve">Tokenomist: Early Backers 31.7% + Core Contributors 20.0% = 51.7% (&gt;50%); grade confirmed. Ecosystem &amp; Data Providers 24.3% and Protocol Dev 10% not counted</t>
  </si>
  <si>
    <t xml:space="preserve">Tokenomist redstone-oracles, page updated 23 Jul 2026</t>
  </si>
  <si>
    <t xml:space="preserve">Float 53.4%; MC/FDV 0.53; grade confirmed</t>
  </si>
  <si>
    <t xml:space="preserve">Tokenomist / CoinGecko</t>
  </si>
  <si>
    <t xml:space="preserve">Not scored: dated unlock table is Pro-only; page text says schedule runs into 2029 but also says "fully unlocked", which conflicts</t>
  </si>
  <si>
    <t xml:space="preserve">Tokenomist</t>
  </si>
  <si>
    <t xml:space="preserve">Unlocks of 31.6M RED a month (Nov 3, Dec 3, Jan 3) = 2 to 3 unlocks, 12-18% of 527.8M circulating in the next 90 days (&gt;10%)</t>
  </si>
  <si>
    <t xml:space="preserve">Tokenomics.com RedStone unlock schedule, 2026-10-05</t>
  </si>
  <si>
    <t xml:space="preserve">Private investors 31.7% + insiders 20% + foundation 10% = 61.7% of supply; grade confirmed</t>
  </si>
  <si>
    <t xml:space="preserve">Tokenomics.com</t>
  </si>
  <si>
    <t xml:space="preserve">Monthly unlocks of ~19.4M NIGHT (Oct 7, Nov 7, Dec 7) = ~58M, 0.35% of 16.6B circulating (&lt;=1%). Thaw tranches assumed already in circulating supply</t>
  </si>
  <si>
    <t xml:space="preserve">Tokenomics.com Midnight unlock schedule, 2026-10-05</t>
  </si>
  <si>
    <t xml:space="preserve">NOT scored: Tokenomics.com labels 76% as Foundation (35% Foundation + 15.3% TGE entity + 20.7% reserve + 5% treasury). Grade is E if all counted, E if Foundation + TGE (50.3%), C if Foundation alone (35%). Awaiting decision</t>
  </si>
  <si>
    <t xml:space="preserve">LV5.2</t>
  </si>
  <si>
    <t xml:space="preserve">Added lines L11 Purpose (10), L12 Backers (5), L13 Adoption (5) on a new V5.2 sheet; V5.1 Batch left unchanged</t>
  </si>
  <si>
    <t xml:space="preserve">User request</t>
  </si>
  <si>
    <t xml:space="preserve">LL13</t>
  </si>
  <si>
    <t xml:space="preserve">Adoption researched: Yes for BTC, ETH, SOL, XRP, LINK, USDC, ONDO, UNI, CRO, POWR; No for PEPE; others blank. POWR purpose set to Yes (licence token)</t>
  </si>
  <si>
    <t xml:space="preserve">Web search 2026-10-05</t>
  </si>
  <si>
    <t xml:space="preserve">User decision: no use beyond trading</t>
  </si>
  <si>
    <t xml:space="preserve">User</t>
  </si>
  <si>
    <t xml:space="preserve">AAVE, RED, HYPE</t>
  </si>
  <si>
    <t xml:space="preserve">Recent-news sweep: AAVE strong; RED and HYPE weak</t>
  </si>
  <si>
    <t xml:space="preserve">LV5.2 weights</t>
  </si>
  <si>
    <t xml:space="preserve">Re-weighted to 100: L2,L3,L4,L8 to 5; L5,L6 to 10; added L14 size (5) and L15 market-share trend (5)</t>
  </si>
  <si>
    <t xml:space="preserve">User decision</t>
  </si>
  <si>
    <t xml:space="preserve">L11, 12</t>
  </si>
  <si>
    <t xml:space="preserve">A, B</t>
  </si>
  <si>
    <t xml:space="preserve">DropsTab: licence token (purpose Yes); $26M raised (backers B)</t>
  </si>
  <si>
    <t xml:space="preserve">dropstab.com 2026-10-05</t>
  </si>
  <si>
    <t xml:space="preserve">Foundation share 35% (C grade, &gt;25-40%); TGE entity 15.3% excluded by user decision</t>
  </si>
  <si>
    <t xml:space="preserve">Tokenomics.com via handoff; user decision 2026-10-05</t>
  </si>
  <si>
    <t xml:space="preserve">No fee burn, buyback or payout: holding NIGHT generates DUST (non-transferable capacity resource)</t>
  </si>
  <si>
    <t xml:space="preserve">midnight.network blog 25 Jun 2025; user reading</t>
  </si>
  <si>
    <t xml:space="preserve">Unclear but no action found: no NIGHT-specific SEC/CFTC ruling, ETF or commodity tag; general SEC framework only; listed on Kraken and Binance</t>
  </si>
  <si>
    <t xml:space="preserve">HSF Kramer 29 Sep 2026; web search 2026-10-05</t>
  </si>
  <si>
    <t xml:space="preserve">Purpose Yes: holding NIGHT generates DUST that powers transactions and smart contracts; permissionless smart contracts reported live 5 Oct 2026 (single news item)</t>
  </si>
  <si>
    <t xml:space="preserve">midnight.network blog; CoinGecko 2026-10-05</t>
  </si>
  <si>
    <t xml:space="preserve">Fair launch (Glacier Drop free distribution); DropsTab shows no funding rounds</t>
  </si>
  <si>
    <t xml:space="preserve">midnight.network; dropstab.com 2026-10-05</t>
  </si>
  <si>
    <t xml:space="preserve">$790.5M: Ripple Labs equity rounds (2025 $500M, Series C $200M, B $55M, A $32M, seed $3.5M); company-level counts by user decision</t>
  </si>
  <si>
    <t xml:space="preserve">$35M: includes Binance exchange Series A ($10M, 2017) and Google Cloud round ($10M, 2024); company-level counts by user decision</t>
  </si>
  <si>
    <t xml:space="preserve">$29.24M: 2017 token sales ($16M pre-sale, $13.24M public)</t>
  </si>
  <si>
    <t xml:space="preserve">$426.2M: 2017 public sale $26.2M plus $400M Citadel Securities equity in Crypto.com (Jul 2026); company-level counts by user decision</t>
  </si>
  <si>
    <t xml:space="preserve">MWEB exploit: Mar 2026 attacker pegged out 85,034 LTC (~$4.8M at about $56); Apr 25 2026 follow-up caused a 13-block reorg; patched, no lasting inflation per Litecoin postmortem. Grade C ($1-10M remediated). DefiLlama lists "Litecoin" Apr 2026, amount blank. More than 90 days ago, so no flag.</t>
  </si>
  <si>
    <t xml:space="preserve">litecoin.com postmortem; forklog.com; DefiLlama hacks 2026-10-05</t>
  </si>
  <si>
    <t xml:space="preserve">Evidence corrected: Tokenomist note "schedule ended 2024" is internally inconsistent (says fully unlocked while 48.6% is circulating). Grade kept A on observed data: circulating supply grew about 0.2% in 90 days (269.3M to 269.9M) and 0.4% in 180 days. Mining Reserve emissions not itemised, so confidence is lower.</t>
  </si>
  <si>
    <t xml:space="preserve">CoinGecko market chart; tokenomist.ai/raydium; dropstab.com 2026-10-05</t>
  </si>
  <si>
    <t xml:space="preserve">Line 8 re-checked against DefiLlama hacks (24 months to 2026-10-05); see sheet "L8 recheck". Only LTC changed; open decisions listed on that sheet.</t>
  </si>
  <si>
    <t xml:space="preserve">DefiLlama api.llama.fi/hacks</t>
  </si>
  <si>
    <t xml:space="preserve">User decision 2026-10-05: direct loss only (Aave V3 $862K, Mar 2026, fully returned); Kelp bad debt not counted</t>
  </si>
  <si>
    <t xml:space="preserve">DefiLlama hacks; user</t>
  </si>
  <si>
    <t xml:space="preserve">SHIB, FET, SAND, QNT</t>
  </si>
  <si>
    <t xml:space="preserve">C, C, C, B</t>
  </si>
  <si>
    <t xml:space="preserve">User decisions 2026-10-05: SHIB stays C (treated as remediated); FET stays C; SAND no Cap 4 (unbacked mint treated as resolved); QNT OK (date discrepancy Apr vs Jul left as is)</t>
  </si>
  <si>
    <t xml:space="preserve">AVAX, HBAR, CAKE, SKY</t>
  </si>
  <si>
    <t xml:space="preserve">LALL</t>
  </si>
  <si>
    <t xml:space="preserve">Four coins added to the universe (35 assets). All trade spot on Coinbase and Kraken; AVAX and HBAR also on Binance.US (USD/USDT), CAKE and SKY on Binance.US in USDT only.</t>
  </si>
  <si>
    <t xml:space="preserve">Coinbase, Kraken, Binance.US APIs 2026-10-05</t>
  </si>
  <si>
    <t xml:space="preserve">MC/FDV 0.62 (TradingView FDV $7.97B on 720M max supply; CoinGecko FDV uses total supply 470M and gives 0.94)</t>
  </si>
  <si>
    <t xml:space="preserve">TradingView, CoinGecko</t>
  </si>
  <si>
    <t xml:space="preserve">Realized circulating supply +2.66% in 90 days (proxy; next unlock is one small Foundation event of 1.67M AVAX in Dec)</t>
  </si>
  <si>
    <t xml:space="preserve">CoinGecko history; dropstab.com</t>
  </si>
  <si>
    <t xml:space="preserve">Team 10 + Foundation 9.26 + Strategic partners 5 + Seed 2.5 + Private 3.46 = 30.2% of max supply (7% Community and Development Endowment not counted)</t>
  </si>
  <si>
    <t xml:space="preserve">dropstab.com</t>
  </si>
  <si>
    <t xml:space="preserve">Holders revenue $2.73M of $10.76M fees (30d) = 25.4%; borderline (cut-off 25%)</t>
  </si>
  <si>
    <t xml:space="preserve">$2.76M bid depth within 2% across Coinbase, Kraken, Binance.US = 27.6x</t>
  </si>
  <si>
    <t xml:space="preserve">Lower of Price-free: stablecoin supply +12.3% (A) and Native-token: chain TVL in AVAX terms -17.3% (D)</t>
  </si>
  <si>
    <t xml:space="preserve">Sentiment 79, Galaxy 50.8</t>
  </si>
  <si>
    <t xml:space="preserve">TradingView</t>
  </si>
  <si>
    <t xml:space="preserve">No DefiLlama hit by name in 24 months (name match only)</t>
  </si>
  <si>
    <t xml:space="preserve">DefiLlama hacks</t>
  </si>
  <si>
    <t xml:space="preserve">VanEck spot AVAX ETF (VAVX) trading on Nasdaq; no enforcement found</t>
  </si>
  <si>
    <t xml:space="preserve">Decrypt</t>
  </si>
  <si>
    <t xml:space="preserve">Chain fees $10.8M in 30 days</t>
  </si>
  <si>
    <t xml:space="preserve">$536.0M raised (OTC $250M Dec 2024, venture $230M, seed, private and public sales 2020); company-level counts</t>
  </si>
  <si>
    <t xml:space="preserve">BlackRock BUIDL ($500M launch Nov 2025, over $900M AUM later), Broadridge proxy voting, FIS/Intain tokenized loans in production on Avalanche. Adoption of the network, like ETH</t>
  </si>
  <si>
    <t xml:space="preserve">Cointelegraph (Messari), Ava Labs</t>
  </si>
  <si>
    <t xml:space="preserve">Market cap $4.94B</t>
  </si>
  <si>
    <t xml:space="preserve">Market cap +71.2% in 90 days; +28.2% vs top-20 basket</t>
  </si>
  <si>
    <t xml:space="preserve">MC/FDV 0.88</t>
  </si>
  <si>
    <t xml:space="preserve">Realized circulating supply +0.47% in 90 days (proxy)</t>
  </si>
  <si>
    <t xml:space="preserve">Investors 22.3% (SAFT, exchange offer, TPA) + Swirlds investors 2.0 + Hashgraph licence 5.7 + Council 0.8 + 2018 Coin Plan 13.2 = 43.9%. Treasury pools (Ecosystem Development 17.8%, Unallocated 37.9%) excluded; including them would give E</t>
  </si>
  <si>
    <t xml:space="preserve">Holders revenue $1.4K of $236K fees (30d) = 0.6%, below the 1% cut-off for D; fees under $1M a month</t>
  </si>
  <si>
    <t xml:space="preserve">$1.47M bid depth within 2% = 14.7x</t>
  </si>
  <si>
    <t xml:space="preserve">Lower of Price-free: stablecoin supply +15.8% (A) and Native-token: chain TVL in HBAR terms -32.9% (E); within 5 points of the -30 cut-off</t>
  </si>
  <si>
    <t xml:space="preserve">Sentiment 88 (A), Galaxy 41.6 (D): mean rounds down</t>
  </si>
  <si>
    <t xml:space="preserve">No DefiLlama hit by name; Bonzo Lend ($9.05M, Jul 2026) is an app on Hedera, not the network</t>
  </si>
  <si>
    <t xml:space="preserve">Canary spot HBAR ETF (HBR) trading on Nasdaq since 28 Oct 2025; no enforcement found</t>
  </si>
  <si>
    <t xml:space="preserve">Business Wire; Benzinga</t>
  </si>
  <si>
    <t xml:space="preserve">Chain fees $0.24M in 30 days; TVL $41M</t>
  </si>
  <si>
    <t xml:space="preserve">$123.0M raised (SAFT series 1, 2, 3A, 3B and others)</t>
  </si>
  <si>
    <t xml:space="preserve">Left blank: Governing Council members (Google, IBM, Boeing and others) run nodes; per the NIGHT decision, node operators are not counted</t>
  </si>
  <si>
    <t xml:space="preserve">User decision on NIGHT, applied by analogy</t>
  </si>
  <si>
    <t xml:space="preserve">Market cap $4.44B</t>
  </si>
  <si>
    <t xml:space="preserve">Market cap +43.0% in 90 days; +7.1% vs basket</t>
  </si>
  <si>
    <t xml:space="preserve">MC/FDV 0.796 (TradingView FDV $0.98B on 400M max); borderline versus 0.80</t>
  </si>
  <si>
    <t xml:space="preserve">Realized circulating supply -1.5% in 90 days (burns exceed emissions)</t>
  </si>
  <si>
    <t xml:space="preserve">Blank: DropsTab has no allocation breakdown (no vesting data)</t>
  </si>
  <si>
    <t xml:space="preserve">Holders revenue $4.61M of $20.99M fees (30d) = 22.0%</t>
  </si>
  <si>
    <t xml:space="preserve">$0.14M bid depth within 2% = 1.43x</t>
  </si>
  <si>
    <t xml:space="preserve">Lower of Price-free: fees (30-day average) +151% (A) and Native-token: protocol TVL in CAKE terms -36.5% (E)</t>
  </si>
  <si>
    <t xml:space="preserve">Sentiment 74 (D), Galaxy 62.4 (B): mean rounds down</t>
  </si>
  <si>
    <t xml:space="preserve">No DefiLlama hit by name (name match only)</t>
  </si>
  <si>
    <t xml:space="preserve">No ETF, no enforcement found; Senator Warren asked for an investigation in Dec 2025 (no action)</t>
  </si>
  <si>
    <t xml:space="preserve">DEX fees $21.0M in 30 days</t>
  </si>
  <si>
    <t xml:space="preserve">$0.35M grant only</t>
  </si>
  <si>
    <t xml:space="preserve">Market cap $0.78B</t>
  </si>
  <si>
    <t xml:space="preserve">Market cap +74.4% in 90 days; +30.7% vs basket</t>
  </si>
  <si>
    <t xml:space="preserve">MC/FDV 0.999</t>
  </si>
  <si>
    <t xml:space="preserve">CoinGecko (TradingView has no SKY coin data)</t>
  </si>
  <si>
    <t xml:space="preserve">Realized circulating supply +0.43% in 90 days (proxy)</t>
  </si>
  <si>
    <t xml:space="preserve">Blank: no allocation data</t>
  </si>
  <si>
    <t xml:space="preserve">Holders revenue $5.42M of $26.91M fees (30d, Sky Lending) = 20.1%; a March 2026 vote cut buybacks</t>
  </si>
  <si>
    <t xml:space="preserve">DefiLlama; DefiLlama dashboard</t>
  </si>
  <si>
    <t xml:space="preserve">$0.20M bid depth within 2% = 1.98x</t>
  </si>
  <si>
    <t xml:space="preserve">Lower of Price-free: fees (30-day average) -10.9% (D, borderline) and Native-token: protocol TVL in SKY terms -37.7% (E)</t>
  </si>
  <si>
    <t xml:space="preserve">Blank: TradingView returns no sentiment or Galaxy Score for SKY</t>
  </si>
  <si>
    <t xml:space="preserve">No ETF found (a Swedish ETP exists); no enforcement found</t>
  </si>
  <si>
    <t xml:space="preserve">Protocol fees $26.9M in 30 days; SKY is the governance and staking token</t>
  </si>
  <si>
    <t xml:space="preserve">DefiLlama; Wealthsimple</t>
  </si>
  <si>
    <t xml:space="preserve">No raise recorded for SKY; MKR (the predecessor token, converted 1:24,000) raised $54.5M in three seed rounds. Company-level and predecessor rounds counted</t>
  </si>
  <si>
    <t xml:space="preserve">dropstab.com (maker)</t>
  </si>
  <si>
    <t xml:space="preserve">Market cap $2.05B</t>
  </si>
  <si>
    <t xml:space="preserve">Market cap +64.1% in 90 days; +22.9% vs basket</t>
  </si>
  <si>
    <t xml:space="preserve">Re-confirmed 2026-10-05, no grade change: MC/FDV 0.957 (market cap $1.721T ÷ FDV on max supply $1.798T)</t>
  </si>
  <si>
    <t xml:space="preserve">TradingView; CoinGecko 2026-10-05</t>
  </si>
  <si>
    <t xml:space="preserve">Re-confirmed 2026-10-05, no grade change: Scheduled issuance 3.125 BTC x 144 blocks x 90 days = 40,500 BTC = 0.20% of 20.094M circulating; realized 90-day supply growth 0.20% (matches)</t>
  </si>
  <si>
    <t xml:space="preserve">CoinGecko 2026-10-05</t>
  </si>
  <si>
    <t xml:space="preserve">Re-confirmed 2026-10-05, no grade change: Fair launch, no premine, no investor allocation (protocol design). DropsTab and Tokenomist pages loaded but returned no extractable BTC raise or vesting data</t>
  </si>
  <si>
    <t xml:space="preserve">Protocol design; DropsTab/Tokenomist (no data) 2026-10-05</t>
  </si>
  <si>
    <t xml:space="preserve">Re-confirmed 2026-10-05, no grade change: At least 555x: bid depth within 2% of at least $55.5M (Coinbase $28.9M, Kraken $24.5M, Binance.US $2.0M; USD and USDT pairs). Lower bound: Kraken USD book did not reach the 2% mark within 500 levels. Earlier snapshot showed 930x; both A</t>
  </si>
  <si>
    <t xml:space="preserve">Exchange order books 2026-10-05</t>
  </si>
  <si>
    <t xml:space="preserve">Re-confirmed 2026-10-05, no grade change: Lower of fees (USD) +20.9% [A] and fees in native token -6.9% [C] (borderline †, within 5 pts of the D cut-off). 30-day averages 90 days apart; low-confidence fee series (~$240K/day)</t>
  </si>
  <si>
    <t xml:space="preserve">DefiLlama + CoinGecko 2026-10-05</t>
  </si>
  <si>
    <t xml:space="preserve">Re-confirmed 2026-10-05, no grade change: TradingView sentiment 73 (step D)</t>
  </si>
  <si>
    <t xml:space="preserve">TradingView 2026-10-05</t>
  </si>
  <si>
    <t xml:space="preserve">Re-confirmed 2026-10-05, no grade change: Own direct loss: none found. Third-party incidents (Coldcard ~$116M Jul 2026 and 12 others) listed in evidence for context, not graded (user decision 2026-10-05)</t>
  </si>
  <si>
    <t xml:space="preserve">DefiLlama hacks; TRM Labs; The Block 2026-10-05</t>
  </si>
  <si>
    <t xml:space="preserve">Re-confirmed 2026-10-05, no grade change: ETF-approved (spot BTC ETFs, SEC, Jan 2024)</t>
  </si>
  <si>
    <t xml:space="preserve">Re-confirmed 2026-10-05, no grade change: No admin, mint or upgrade key (protocol design); no admin path</t>
  </si>
  <si>
    <t xml:space="preserve">Protocol design 2026-10-05</t>
  </si>
  <si>
    <t xml:space="preserve">Re-confirmed 2026-10-05, no grade change: Yes: DefiLlama Bitcoin chain fees $196K on 2026-10-04; 30-day average $240K a day</t>
  </si>
  <si>
    <t xml:space="preserve">Re-confirmed 2026-10-05, no grade change: YES: US government holds an estimated 328K BTC (~$28.6B, Mar 2026); Strategic Bitcoin Reserve created by Executive Order 14233, 6 Mar 2025. Funded from seizures; no purchases yet. Counted as documented government holding (user decision 2026-10-05; grade stays A)</t>
  </si>
  <si>
    <t xml:space="preserve">bit.com; blockeden.xyz; The Block 2026-10-05</t>
  </si>
  <si>
    <t xml:space="preserve">Re-confirmed 2026-10-05, no grade change: market cap $1719.75B</t>
  </si>
  <si>
    <t xml:space="preserve">Re-confirmed 2026-10-05, no grade change: market cap +35.4% over 90 days (2026-07-07 to 2026-10-05); top-20 basket +32.7% (recomputed); relative +2.0% (borderline †, within 5 pts of the B/C cut-off)</t>
  </si>
  <si>
    <t xml:space="preserve">CoinGecko history 2026-10-05</t>
  </si>
  <si>
    <t xml:space="preserve">DefiLlama, stablecoins.llama.fi, CoinGecko | 2026-07-07 to 2026-10-05</t>
  </si>
  <si>
    <t xml:space="preserve">Price-free: stablecoin supply -4.4% [C]; Native-token: TVL in native token -11.1% [D]; lower of the two (borderline)</t>
  </si>
  <si>
    <t xml:space="preserve">Price-free: stablecoin supply +10.6% [A]; Native-token: TVL in native token -11.7% [D]; lower of the two (borderline)</t>
  </si>
  <si>
    <t xml:space="preserve">Price-free: stablecoin supply +44.6% [A]; Native-token: TVL in native token -13.8% [D]; lower of the two (borderline)</t>
  </si>
  <si>
    <t xml:space="preserve">Price-free: stablecoin supply -4.9% [C]; Native-token: TVL in native token -14.1% [D]; lower of the two (borderline)</t>
  </si>
  <si>
    <t xml:space="preserve">Price-free: fees in TAO terms -8.1% [C]; Native-token: TVL in native token +869.9% [A]; lower of the two (borderline)</t>
  </si>
  <si>
    <t xml:space="preserve">Price-free: stablecoin supply -8.3% [C]; Native-token: TVL in native token -18.9% [D]; lower of the two (borderline)</t>
  </si>
  <si>
    <t xml:space="preserve">Price-free: stablecoin supply +23.4% [A]; Native-token: TVL in native token -37.3% [E]; lower of the two</t>
  </si>
  <si>
    <t xml:space="preserve">Price-free: stablecoin supply -23.0% [D]; Native-token: TVL in native token -46.0% [E]; lower of the two</t>
  </si>
  <si>
    <t xml:space="preserve">Price-free: stablecoin supply -2.5% [C]; Native-token: TVL in native token -20.4% [D]; lower of the two (borderline)</t>
  </si>
  <si>
    <t xml:space="preserve">Price-free: fees (USD) +26.1% [A]; Native-token: TVL in native token -29.9% [D]; lower of the two (borderline)</t>
  </si>
  <si>
    <t xml:space="preserve">Price-free: fees (USD) +282.8% [A]; Native-token: TVL in native token -53.9% [E]; lower of the two</t>
  </si>
  <si>
    <t xml:space="preserve">Price-free: fees (USD) -8.0% [C]; Native-token: TVL in native token -2.8% [C]; lower of the two (borderline)</t>
  </si>
  <si>
    <t xml:space="preserve">Price-free: fees (USD) +669.1% [A]; Native-token: TVL in native token -52.2% [E]; lower of the two</t>
  </si>
  <si>
    <t xml:space="preserve">Price-free: fees (USD) +829.4% [A]; Native-token: TVL in native token +7.5% [B]; lower of the two (borderline)</t>
  </si>
  <si>
    <t xml:space="preserve">Price-free: fees (USD) +20.9% [A]; Native-token: fees in native token -6.9% [C]; lower of the two (borderline †). Refreshed 2026-10-05</t>
  </si>
  <si>
    <t xml:space="preserve">Price-free: fees (USD) +37.8% [A]; Native-token: fees in native token -1.6% [C]; lower of the two (borderline)</t>
  </si>
  <si>
    <t xml:space="preserve">Price-free: fees (USD) +38.3% [A]; Native-token: fees in native token -16.9% [D]; lower of the two</t>
  </si>
  <si>
    <t xml:space="preserve">Price-free: fees (USD) +524.4% [A]; Native-token: fees in native token +103.8% [A]; lower of the two</t>
  </si>
  <si>
    <t xml:space="preserve">Price-free: fees (USD) +20.2% [A]; Native-token: fees in native token -3.7% [C]; lower of the two (borderline)</t>
  </si>
  <si>
    <t xml:space="preserve">Price-free: fees (USD) +204.6% [A]; Native-token: fees in native token +195.9% [A]; lower of the two</t>
  </si>
  <si>
    <t xml:space="preserve">market cap $1719.75B</t>
  </si>
  <si>
    <t xml:space="preserve">market cap +35.4% over 90 days; top-20 basket +32.7%; relative +2.0% (borderline †)</t>
  </si>
  <si>
    <t xml:space="preserve">market cap $331.86B</t>
  </si>
  <si>
    <t xml:space="preserve">market cap +55% over 90 days; relative to top-20 basket +16%</t>
  </si>
  <si>
    <t xml:space="preserve">market cap $71.17B</t>
  </si>
  <si>
    <t xml:space="preserve">market cap +52% over 90 days; relative to top-20 basket +14%</t>
  </si>
  <si>
    <t xml:space="preserve">market cap $95.34B</t>
  </si>
  <si>
    <t xml:space="preserve">market cap +37% over 90 days; relative to top-20 basket +3%</t>
  </si>
  <si>
    <t xml:space="preserve">market cap $104.97B</t>
  </si>
  <si>
    <t xml:space="preserve">market cap +35% over 90 days; relative to top-20 basket +1%</t>
  </si>
  <si>
    <t xml:space="preserve">market cap $6.90B</t>
  </si>
  <si>
    <t xml:space="preserve">market cap +168% over 90 days; relative to top-20 basket +101%</t>
  </si>
  <si>
    <t xml:space="preserve">market cap $10.41B</t>
  </si>
  <si>
    <t xml:space="preserve">market cap +77% over 90 days; relative to top-20 basket +33%</t>
  </si>
  <si>
    <t xml:space="preserve">market cap $5.68B</t>
  </si>
  <si>
    <t xml:space="preserve">market cap +186% over 90 days; relative to top-20 basket +115%</t>
  </si>
  <si>
    <t xml:space="preserve">market cap $2.85B</t>
  </si>
  <si>
    <t xml:space="preserve">market cap +113% over 90 days; relative to top-20 basket +59%</t>
  </si>
  <si>
    <t xml:space="preserve">market cap $2.43B</t>
  </si>
  <si>
    <t xml:space="preserve">market cap $3.47B</t>
  </si>
  <si>
    <t xml:space="preserve">market cap +71% over 90 days; relative to top-20 basket +28%</t>
  </si>
  <si>
    <t xml:space="preserve">market cap $1.07B</t>
  </si>
  <si>
    <t xml:space="preserve">market cap +32% over 90 days; relative to top-20 basket -1%</t>
  </si>
  <si>
    <t xml:space="preserve">market cap $0.21B</t>
  </si>
  <si>
    <t xml:space="preserve">market cap +60% over 90 days; relative to top-20 basket +20%</t>
  </si>
  <si>
    <t xml:space="preserve">market cap $10.57B</t>
  </si>
  <si>
    <t xml:space="preserve">market cap +68% over 90 days; relative to top-20 basket +26%</t>
  </si>
  <si>
    <t xml:space="preserve">market cap $22.76B</t>
  </si>
  <si>
    <t xml:space="preserve">market cap +180% over 90 days; relative to top-20 basket +110%</t>
  </si>
  <si>
    <t xml:space="preserve">market cap $14.95B</t>
  </si>
  <si>
    <t xml:space="preserve">market cap +30% over 90 days; relative to top-20 basket -3%</t>
  </si>
  <si>
    <t xml:space="preserve">market cap $3.48B</t>
  </si>
  <si>
    <t xml:space="preserve">market cap $74.33B</t>
  </si>
  <si>
    <t xml:space="preserve">market cap +1% over 90 days; relative to top-20 basket -24%</t>
  </si>
  <si>
    <t xml:space="preserve">market cap $184.08B</t>
  </si>
  <si>
    <t xml:space="preserve">market cap -0% over 90 days; relative to top-20 basket -25%</t>
  </si>
  <si>
    <t xml:space="preserve">market cap $5.45B</t>
  </si>
  <si>
    <t xml:space="preserve">market cap $21.02B</t>
  </si>
  <si>
    <t xml:space="preserve">market cap +37% over 90 days; relative to top-20 basket +2%</t>
  </si>
  <si>
    <t xml:space="preserve">market cap $3.78B</t>
  </si>
  <si>
    <t xml:space="preserve">market cap +294% over 90 days; relative to top-20 basket +195%</t>
  </si>
  <si>
    <t xml:space="preserve">market cap $0.17B</t>
  </si>
  <si>
    <t xml:space="preserve">market cap +43% over 90 days; relative to top-20 basket +7%</t>
  </si>
  <si>
    <t xml:space="preserve">market cap $1.81B</t>
  </si>
  <si>
    <t xml:space="preserve">market cap -2% over 90 days; relative to top-20 basket -27%</t>
  </si>
  <si>
    <t xml:space="preserve">market cap $0.09B</t>
  </si>
  <si>
    <t xml:space="preserve">market cap +107% over 90 days; relative to top-20 basket +55%</t>
  </si>
  <si>
    <t xml:space="preserve">market cap $0.59B</t>
  </si>
  <si>
    <t xml:space="preserve">market cap +59% over 90 days; relative to top-20 basket +19%</t>
  </si>
  <si>
    <t xml:space="preserve">market cap $0.60B</t>
  </si>
  <si>
    <t xml:space="preserve">market cap +211% over 90 days; relative to top-20 basket +133%</t>
  </si>
  <si>
    <t xml:space="preserve">market cap $0.84B</t>
  </si>
  <si>
    <t xml:space="preserve">market cap +53% over 90 days; relative to top-20 basket +14%</t>
  </si>
  <si>
    <t xml:space="preserve">market cap $0.04B</t>
  </si>
  <si>
    <t xml:space="preserve">market cap +69% over 90 days; relative to top-20 basket +27%</t>
  </si>
  <si>
    <t xml:space="preserve">market cap $1.85B</t>
  </si>
  <si>
    <t xml:space="preserve">market cap +65% over 90 days; relative to top-20 basket +24%</t>
  </si>
  <si>
    <t xml:space="preserve">market cap $3.43B</t>
  </si>
  <si>
    <t xml:space="preserve">market cap +31% over 90 days; relative to top-20 basket -2%</t>
  </si>
  <si>
    <t xml:space="preserve">L11 purpose</t>
  </si>
  <si>
    <t xml:space="preserve">Yes: DefiLlama Bitcoin chain fees $196K on 2026-10-04; 30-day average $240K a day</t>
  </si>
  <si>
    <t xml:space="preserve">see notes</t>
  </si>
  <si>
    <t xml:space="preserve">see V5.2 notes sheet for the evidence</t>
  </si>
  <si>
    <t xml:space="preserve">L13 adoption</t>
  </si>
  <si>
    <t xml:space="preserve">YES: US government holds ~328K BTC; Strategic Bitcoin Reserve, Executive Order 14233, 6 Mar 2025. Funded from seizures; no purchases yet. Counted as government holding (user decision 2026-10-05)</t>
  </si>
  <si>
    <t xml:space="preserve">(blank)</t>
  </si>
  <si>
    <t xml:space="preserve">Foundation 35% only; TGE entity 15.3% excluded (user decision)</t>
  </si>
  <si>
    <t xml:space="preserve">Tokenomics.com; user</t>
  </si>
  <si>
    <t xml:space="preserve">L4 holder value capture</t>
  </si>
  <si>
    <t xml:space="preserve">No fee burn/payout by design: NIGHT generates DUST</t>
  </si>
  <si>
    <t xml:space="preserve">midnight.network blog; user</t>
  </si>
  <si>
    <t xml:space="preserve">L9 regulatory</t>
  </si>
  <si>
    <t xml:space="preserve">Unclear, no action found; general SEC framework only</t>
  </si>
  <si>
    <t xml:space="preserve">HSF Kramer 2026-09-29; web search</t>
  </si>
  <si>
    <t xml:space="preserve">DUST generation, smart contracts live (single news item)</t>
  </si>
  <si>
    <t xml:space="preserve">midnight.network; CoinGecko</t>
  </si>
  <si>
    <t xml:space="preserve">Fair launch; no funding rounds on DropsTab</t>
  </si>
  <si>
    <t xml:space="preserve">$790.5M Ripple Labs equity rounds (company-level counts)</t>
  </si>
  <si>
    <t xml:space="preserve">$35M incl. Binance Series A and Google Cloud round (company-level counts)</t>
  </si>
  <si>
    <t xml:space="preserve">$29.24M token sales 2017</t>
  </si>
  <si>
    <t xml:space="preserve">$426.2M: $26.2M 2017 sale + $400M Citadel equity in Crypto.com (company-level counts)</t>
  </si>
  <si>
    <t xml:space="preserve">L8 incidents</t>
  </si>
  <si>
    <t xml:space="preserve">MWEB exploit Mar 2026 (85,034 LTC pegged out, ~$4.8M) and Apr 25 reorg; patched, no lasting inflation</t>
  </si>
  <si>
    <t xml:space="preserve">litecoin.com postmortem; forklog; DefiLlama</t>
  </si>
  <si>
    <t xml:space="preserve">L2 new supply</t>
  </si>
  <si>
    <t xml:space="preserve">Tokenomist "schedule ended 2024" note unreliable; circulating +0.2% in 90 days (CoinGecko history)</t>
  </si>
  <si>
    <t xml:space="preserve">CoinGecko; tokenomist.ai</t>
  </si>
  <si>
    <t xml:space="preserve">Direct loss only: Aave V3 $862K Mar 2026, fully returned (user decision; Kelp bad debt not counted)</t>
  </si>
  <si>
    <t xml:space="preserve">DefiLlama; user</t>
  </si>
  <si>
    <t xml:space="preserve">2026-10-03</t>
  </si>
  <si>
    <t xml:space="preserve">Clearing House selected Quant for tokenized deposit network (launch H1 2027); weak: pre-production, technology not token</t>
  </si>
  <si>
    <t xml:space="preserve">thecryptobasic.com 2026-10-03</t>
  </si>
  <si>
    <t xml:space="preserve">SETTINGS: the rules in numbers. Formulas on the Grades sheet read this sheet.</t>
  </si>
  <si>
    <t xml:space="preserve">% of a line's points</t>
  </si>
  <si>
    <t xml:space="preserve">THE FIFTEEN LINES (100 points)</t>
  </si>
  <si>
    <t xml:space="preserve">Points</t>
  </si>
  <si>
    <t xml:space="preserve">Cut-offs</t>
  </si>
  <si>
    <t xml:space="preserve">Sources</t>
  </si>
  <si>
    <t xml:space="preserve">Supply dilution (MC/FDV)</t>
  </si>
  <si>
    <t xml:space="preserve">A ≥0.80 | B 0.60–0.79 | C 0.40–0.59 | D 0.20–0.39 | E &lt;0.20</t>
  </si>
  <si>
    <t xml:space="preserve">CoinGecko, TradingView (FDV on max supply)</t>
  </si>
  <si>
    <t xml:space="preserve">New supply in next 90 days (% of circulating)</t>
  </si>
  <si>
    <t xml:space="preserve">A ≤1% | B &gt;1–3% | C &gt;3–5% | D &gt;5–10% | E &gt;10% (proxy: realized 90-day circulating growth if no schedule)</t>
  </si>
  <si>
    <t xml:space="preserve">Tokenomist, Tokenomics.com, DropsTab, CoinGecko history</t>
  </si>
  <si>
    <t xml:space="preserve">A ≤15% or fair launch | B &gt;15–25% | C &gt;25–40% | D &gt;40–50% | E &gt;50%</t>
  </si>
  <si>
    <t xml:space="preserve">Tokenomist, Tokenomics.com</t>
  </si>
  <si>
    <t xml:space="preserve">Holder value capture (fees burned, bought back or paid out)</t>
  </si>
  <si>
    <t xml:space="preserve">A ≥50% | B 25–49% | C 10–24% | D 1–9% | E 0% (under 1% but above 0 = E); capped at C if fees &lt; $1M a month</t>
  </si>
  <si>
    <t xml:space="preserve">DefiLlama holders revenue ÷ fees, 30 days</t>
  </si>
  <si>
    <t xml:space="preserve">US exit liquidity (2% bid depth ÷ $100K)</t>
  </si>
  <si>
    <t xml:space="preserve">A ≥10× | B 5–&lt;10× | C 3–&lt;5× | D 1–&lt;3× | E &lt;1×</t>
  </si>
  <si>
    <t xml:space="preserve">Coinbase, Kraken, Binance.US order books</t>
  </si>
  <si>
    <t xml:space="preserve">A ≥+10% | B 0 to +10% | C −10 to 0% | D −30 to −10% | E &lt;−30% (30-day: +5/0/−5/−15). Lower of the price-free and native-token measures</t>
  </si>
  <si>
    <t xml:space="preserve">Mean of two steps, a half rounds down: sentiment 85/80/75/70 and Galaxy Score 70/60/50/40</t>
  </si>
  <si>
    <t xml:space="preserve">TradingView (CoinGecko votes only if flagged)</t>
  </si>
  <si>
    <t xml:space="preserve">A none found | B ≤$1M remediated | C $1–10M remediated | D &gt;$10M remediated | E unremediated. Coin's own direct loss only</t>
  </si>
  <si>
    <t xml:space="preserve">DefiLlama /hacks, news</t>
  </si>
  <si>
    <t xml:space="preserve">A ETF-approved or commodity, no action | B regulated issuer or clear | C unclear, no action | D restricted | E active enforcement</t>
  </si>
  <si>
    <t xml:space="preserve">Coinbase tags, SEC/CFTC, web search</t>
  </si>
  <si>
    <t xml:space="preserve">A immutable or no admin path | B timelocked multisig or DAO | C multisig without timelock or disclosed freeze | D single key or foundation | E unverified mint/upgrade</t>
  </si>
  <si>
    <t xml:space="preserve">Project docs, DefiLlama</t>
  </si>
  <si>
    <t xml:space="preserve">Yes = A | No = E | blank if no named source</t>
  </si>
  <si>
    <t xml:space="preserve">DefiLlama fees/TVL, CoinGecko, project docs</t>
  </si>
  <si>
    <t xml:space="preserve">A ≥$100M | B $25–&lt;100M | C $5–&lt;25M | D &gt;$0–&lt;5M | NA where no raise is recorded (company-level rounds count)</t>
  </si>
  <si>
    <t xml:space="preserve">DropsTab, Tokenomist</t>
  </si>
  <si>
    <t xml:space="preserve">Adoption: production use by a government, central bank or major company</t>
  </si>
  <si>
    <t xml:space="preserve">Yes = A | No = E (searched, none found) | blank if not researched. Pilots, MoUs, ETFs, small-company treasuries, node operators do not count</t>
  </si>
  <si>
    <t xml:space="preserve">News, SEC filings</t>
  </si>
  <si>
    <t xml:space="preserve">A ≥$100B | B $10–&lt;100B | C $1–&lt;10B | D $0.1–&lt;1B | E &lt;$0.1B</t>
  </si>
  <si>
    <t xml:space="preserve">Market-share trend (90-day dominance vs top-20 basket)</t>
  </si>
  <si>
    <t xml:space="preserve">Same cut-offs as line 6 on (1 + coin change) ÷ (1 + basket change) − 1. NA for USDT, USDC, PAXG</t>
  </si>
  <si>
    <t xml:space="preserve">CoinGecko history; basket below</t>
  </si>
  <si>
    <t xml:space="preserve">Total</t>
  </si>
  <si>
    <t xml:space="preserve">GROUP RULES: 1 = the line must be NA for this group (removed from the denominator). A coin with no recorded raise also has L12 = NA.</t>
  </si>
  <si>
    <t xml:space="preserve">Memecoin: tier held at Average/Decent automatically.</t>
  </si>
  <si>
    <t xml:space="preserve">Threshold</t>
  </si>
  <si>
    <t xml:space="preserve">Value</t>
  </si>
  <si>
    <t xml:space="preserve">Exceptional: minimum score</t>
  </si>
  <si>
    <t xml:space="preserve">Strong: minimum score</t>
  </si>
  <si>
    <t xml:space="preserve">Average/Decent: minimum score</t>
  </si>
  <si>
    <t xml:space="preserve">Minimum coverage to print a tier</t>
  </si>
  <si>
    <t xml:space="preserve">CAP COLUMN on Grades (enter only for a retrieved fact)</t>
  </si>
  <si>
    <t xml:space="preserve">3</t>
  </si>
  <si>
    <t xml:space="preserve">Flag: the tier drops at most one step below what the score gives, never below Average/Decent. Flags: active SEC/CFTC/DOJ enforcement; material incident in the last 90 days, remediated, loss &gt; $1M (90 days run from remediation); team-controlled mint/upgrade key with no timelock; top-10 non-exchange wallets &gt; 60%; stablecoin depeg &gt; 5% for &gt; 24 h; privacy coin banned or delisted.</t>
  </si>
  <si>
    <t xml:space="preserve">4</t>
  </si>
  <si>
    <t xml:space="preserve">Cap 4 (Weak): unresolved exploit, unbacked minting, or stablecoin/RWA reserves shown not independently verified.</t>
  </si>
  <si>
    <t xml:space="preserve">MARKET-SHARE BASKET (line 15): top-20 by market cap, CoinGecko IDs. Basket 90-day change +33.5% on 2026-10-05; recompute it for any other date and write the figure and date in the evidence.</t>
  </si>
  <si>
    <t xml:space="preserve">tron</t>
  </si>
  <si>
    <t xml:space="preserve">figure-heloc</t>
  </si>
  <si>
    <t xml:space="preserve">whitebit</t>
  </si>
  <si>
    <t xml:space="preserve">cardano</t>
  </si>
  <si>
    <t xml:space="preserve">usds</t>
  </si>
  <si>
    <t xml:space="preserve">leo-token</t>
  </si>
  <si>
    <t xml:space="preserve">rain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</si>
</sst>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"/>
    <numFmt numFmtId="167" formatCode="0%"/>
    <numFmt numFmtId="168" formatCode="yyyy\-mm\-dd"/>
    <numFmt numFmtId="169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DDEBF7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C6E0B4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  <dxf>
      <fill>
        <patternFill>
          <bgColor rgb="FFE7E6E6"/>
        </patternFill>
      </fill>
    </dxf>
    <dxf>
      <font>
        <b val="1"/>
        <color rgb="FFC00000"/>
      </font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23.2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10" customFormat="false" ht="15" hidden="false" customHeight="true" outlineLevel="0" collapsed="false">
      <c r="A10" s="4" t="s">
        <v>7</v>
      </c>
    </row>
    <row r="11" customFormat="false" ht="34.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5" min="4" style="1" width="8"/>
    <col collapsed="false" customWidth="true" hidden="false" outlineLevel="0" max="6" min="6" style="1" width="9"/>
    <col collapsed="false" customWidth="true" hidden="false" outlineLevel="0" max="7" min="7" style="1" width="22"/>
    <col collapsed="false" customWidth="true" hidden="false" outlineLevel="0" max="8" min="8" style="1" width="7"/>
    <col collapsed="false" customWidth="true" hidden="false" outlineLevel="0" max="23" min="9" style="1" width="5"/>
    <col collapsed="false" customWidth="true" hidden="false" outlineLevel="0" max="24" min="24" style="1" width="12"/>
    <col collapsed="false" customWidth="true" hidden="false" outlineLevel="0" max="25" min="25" style="1" width="22"/>
    <col collapsed="false" customWidth="true" hidden="false" outlineLevel="0" max="26" min="26" style="1" width="10"/>
    <col collapsed="false" customWidth="true" hidden="false" outlineLevel="0" max="30" min="27" style="1" width="8"/>
    <col collapsed="false" customWidth="true" hidden="false" outlineLevel="0" max="31" min="31" style="1" width="16"/>
  </cols>
  <sheetData>
    <row r="1" customFormat="false" ht="15" hidden="false" customHeight="true" outlineLevel="0" collapsed="false">
      <c r="A1" s="4" t="s">
        <v>12</v>
      </c>
    </row>
    <row r="2" customFormat="false" ht="15" hidden="false" customHeight="true" outlineLevel="0" collapsed="false">
      <c r="A2" s="5" t="s">
        <v>13</v>
      </c>
    </row>
    <row r="3" customFormat="false" ht="15" hidden="false" customHeight="true" outlineLevel="0" collapsed="false">
      <c r="H3" s="4" t="s">
        <v>14</v>
      </c>
      <c r="I3" s="6" t="n">
        <f aca="false">Settings!$C$12</f>
        <v>10</v>
      </c>
      <c r="J3" s="6" t="n">
        <f aca="false">Settings!$C$13</f>
        <v>5</v>
      </c>
      <c r="K3" s="6" t="n">
        <f aca="false">Settings!$C$14</f>
        <v>5</v>
      </c>
      <c r="L3" s="6" t="n">
        <f aca="false">Settings!$C$15</f>
        <v>5</v>
      </c>
      <c r="M3" s="6" t="n">
        <f aca="false">Settings!$C$16</f>
        <v>10</v>
      </c>
      <c r="N3" s="6" t="n">
        <f aca="false">Settings!$C$17</f>
        <v>10</v>
      </c>
      <c r="O3" s="6" t="n">
        <f aca="false">Settings!$C$18</f>
        <v>5</v>
      </c>
      <c r="P3" s="6" t="n">
        <f aca="false">Settings!$C$19</f>
        <v>5</v>
      </c>
      <c r="Q3" s="6" t="n">
        <f aca="false">Settings!$C$20</f>
        <v>10</v>
      </c>
      <c r="R3" s="6" t="n">
        <f aca="false">Settings!$C$21</f>
        <v>5</v>
      </c>
      <c r="S3" s="6" t="n">
        <f aca="false">Settings!$C$22</f>
        <v>10</v>
      </c>
      <c r="T3" s="6" t="n">
        <f aca="false">Settings!$C$23</f>
        <v>5</v>
      </c>
      <c r="U3" s="6" t="n">
        <f aca="false">Settings!$C$24</f>
        <v>5</v>
      </c>
      <c r="V3" s="6" t="n">
        <f aca="false">Settings!$C$25</f>
        <v>5</v>
      </c>
      <c r="W3" s="6" t="n">
        <f aca="false">Settings!$C$26</f>
        <v>5</v>
      </c>
    </row>
    <row r="4" customFormat="false" ht="23.25" hidden="false" customHeight="tru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24</v>
      </c>
      <c r="K4" s="7" t="s">
        <v>25</v>
      </c>
      <c r="L4" s="7" t="s">
        <v>26</v>
      </c>
      <c r="M4" s="7" t="s">
        <v>27</v>
      </c>
      <c r="N4" s="7" t="s">
        <v>28</v>
      </c>
      <c r="O4" s="7" t="s">
        <v>29</v>
      </c>
      <c r="P4" s="7" t="s">
        <v>30</v>
      </c>
      <c r="Q4" s="7" t="s">
        <v>31</v>
      </c>
      <c r="R4" s="7" t="s">
        <v>32</v>
      </c>
      <c r="S4" s="7" t="s">
        <v>33</v>
      </c>
      <c r="T4" s="7" t="s">
        <v>34</v>
      </c>
      <c r="U4" s="7" t="s">
        <v>35</v>
      </c>
      <c r="V4" s="7" t="s">
        <v>36</v>
      </c>
      <c r="W4" s="7" t="s">
        <v>37</v>
      </c>
      <c r="X4" s="7" t="s">
        <v>38</v>
      </c>
      <c r="Y4" s="7" t="s">
        <v>39</v>
      </c>
      <c r="Z4" s="7" t="s">
        <v>40</v>
      </c>
      <c r="AA4" s="7" t="s">
        <v>41</v>
      </c>
      <c r="AB4" s="7" t="s">
        <v>42</v>
      </c>
      <c r="AC4" s="7" t="s">
        <v>43</v>
      </c>
      <c r="AD4" s="7" t="s">
        <v>44</v>
      </c>
      <c r="AE4" s="7" t="s">
        <v>45</v>
      </c>
    </row>
    <row r="5" customFormat="false" ht="15" hidden="false" customHeight="true" outlineLevel="0" collapsed="false">
      <c r="A5" s="8" t="s">
        <v>46</v>
      </c>
      <c r="B5" s="9" t="s">
        <v>47</v>
      </c>
      <c r="C5" s="10" t="s">
        <v>48</v>
      </c>
      <c r="D5" s="11" t="n">
        <f aca="false">IF(AA5=0,"",ROUND(AB5/AA5*100,1))</f>
        <v>90.3</v>
      </c>
      <c r="E5" s="12" t="n">
        <f aca="false">IF(D5="","",ROUND(D5/10,1))</f>
        <v>9</v>
      </c>
      <c r="F5" s="13" t="n">
        <f aca="false">IF(Z5=0,0,AA5/Z5)</f>
        <v>1</v>
      </c>
      <c r="G5" s="14" t="str">
        <f aca="false">IF(D5="","",IF(F5&lt;Settings!$B$42,"Not rated (low coverage)",CHOOSE(AD5,"Exceptional","Strong","Average/Decent","Weak")))</f>
        <v>Exceptional</v>
      </c>
      <c r="H5" s="15"/>
      <c r="I5" s="15" t="s">
        <v>49</v>
      </c>
      <c r="J5" s="15" t="s">
        <v>49</v>
      </c>
      <c r="K5" s="15" t="s">
        <v>49</v>
      </c>
      <c r="L5" s="15" t="s">
        <v>50</v>
      </c>
      <c r="M5" s="15" t="s">
        <v>49</v>
      </c>
      <c r="N5" s="15" t="s">
        <v>51</v>
      </c>
      <c r="O5" s="15" t="s">
        <v>51</v>
      </c>
      <c r="P5" s="15" t="s">
        <v>49</v>
      </c>
      <c r="Q5" s="15" t="s">
        <v>49</v>
      </c>
      <c r="R5" s="15" t="s">
        <v>49</v>
      </c>
      <c r="S5" s="15" t="s">
        <v>49</v>
      </c>
      <c r="T5" s="15" t="s">
        <v>50</v>
      </c>
      <c r="U5" s="15" t="s">
        <v>49</v>
      </c>
      <c r="V5" s="15" t="s">
        <v>49</v>
      </c>
      <c r="W5" s="15" t="s">
        <v>52</v>
      </c>
      <c r="X5" s="15" t="s">
        <v>53</v>
      </c>
      <c r="Y5" s="10" t="s">
        <v>54</v>
      </c>
      <c r="Z5" s="9" t="n">
        <f aca="false">SUMPRODUCT(--(I5:W5&lt;&gt;"NA"),I$3:W$3)</f>
        <v>90</v>
      </c>
      <c r="AA5" s="9" t="n">
        <f aca="false">SUMPRODUCT(--(I5:W5&lt;&gt;""),--(I5:W5&lt;&gt;"NA"),I$3:W$3)</f>
        <v>90</v>
      </c>
      <c r="AB5" s="9" t="n">
        <f aca="false">SUMPRODUCT((I5:W5="A")*Settings!$B$4+(I5:W5="B")*Settings!$B$5+(I5:W5="C")*Settings!$B$6+(I5:W5="D")*Settings!$B$7+(I5:W5="E")*Settings!$B$8,I$3:W$3)</f>
        <v>81.25</v>
      </c>
      <c r="AC5" s="9" t="n">
        <f aca="false">IF(D5="","",IF(D5&gt;=Settings!$B$39,1,IF(D5&gt;=Settings!$B$40,2,IF(D5&gt;=Settings!$B$41,3,4))))</f>
        <v>1</v>
      </c>
      <c r="AD5" s="9" t="n">
        <f aca="false">IF(AC5="","",IF(H5="",IF(C5="Memecoin",MAX(AC5,3),AC5),IF(H5&gt;=4,MAX(AC5,H5),IF(C5="Memecoin",MAX(AC5,3),MAX(AC5,MIN(H5,AC5+1))))))</f>
        <v>1</v>
      </c>
      <c r="AE5" s="16" t="str">
        <f aca="false">IF(C5="","",IF(SUMPRODUCT((INDEX(Settings!$B$31:$P$34,MATCH(C5,Settings!$A$31:$A$34,0),0)=1)*(I5:W5&lt;&gt;"NA"))&gt;0,"Group NA missing","OK"))</f>
        <v>OK</v>
      </c>
    </row>
    <row r="6" customFormat="false" ht="15" hidden="false" customHeight="true" outlineLevel="0" collapsed="false">
      <c r="A6" s="8" t="s">
        <v>55</v>
      </c>
      <c r="B6" s="9" t="s">
        <v>56</v>
      </c>
      <c r="C6" s="10" t="s">
        <v>57</v>
      </c>
      <c r="D6" s="11" t="n">
        <f aca="false">IF(AA6=0,"",ROUND(AB6/AA6*100,1))</f>
        <v>86.3</v>
      </c>
      <c r="E6" s="12" t="n">
        <f aca="false">IF(D6="","",ROUND(D6/10,1))</f>
        <v>8.6</v>
      </c>
      <c r="F6" s="13" t="n">
        <f aca="false">IF(Z6=0,0,AA6/Z6)</f>
        <v>1</v>
      </c>
      <c r="G6" s="14" t="str">
        <f aca="false">IF(D6="","",IF(F6&lt;Settings!$B$42,"Not rated (low coverage)",CHOOSE(AD6,"Exceptional","Strong","Average/Decent","Weak")))</f>
        <v>Strong</v>
      </c>
      <c r="H6" s="15"/>
      <c r="I6" s="15" t="s">
        <v>49</v>
      </c>
      <c r="J6" s="15" t="s">
        <v>49</v>
      </c>
      <c r="K6" s="15" t="s">
        <v>49</v>
      </c>
      <c r="L6" s="15" t="s">
        <v>52</v>
      </c>
      <c r="M6" s="15" t="s">
        <v>49</v>
      </c>
      <c r="N6" s="15" t="s">
        <v>58</v>
      </c>
      <c r="O6" s="15" t="s">
        <v>51</v>
      </c>
      <c r="P6" s="15" t="s">
        <v>49</v>
      </c>
      <c r="Q6" s="15" t="s">
        <v>49</v>
      </c>
      <c r="R6" s="15" t="s">
        <v>49</v>
      </c>
      <c r="S6" s="15" t="s">
        <v>49</v>
      </c>
      <c r="T6" s="15" t="s">
        <v>51</v>
      </c>
      <c r="U6" s="15" t="s">
        <v>49</v>
      </c>
      <c r="V6" s="15" t="s">
        <v>49</v>
      </c>
      <c r="W6" s="15" t="s">
        <v>49</v>
      </c>
      <c r="X6" s="15" t="s">
        <v>59</v>
      </c>
      <c r="Y6" s="10" t="s">
        <v>60</v>
      </c>
      <c r="Z6" s="9" t="n">
        <f aca="false">SUMPRODUCT(--(I6:W6&lt;&gt;"NA"),I$3:W$3)</f>
        <v>100</v>
      </c>
      <c r="AA6" s="9" t="n">
        <f aca="false">SUMPRODUCT(--(I6:W6&lt;&gt;""),--(I6:W6&lt;&gt;"NA"),I$3:W$3)</f>
        <v>100</v>
      </c>
      <c r="AB6" s="9" t="n">
        <f aca="false">SUMPRODUCT((I6:W6="A")*Settings!$B$4+(I6:W6="B")*Settings!$B$5+(I6:W6="C")*Settings!$B$6+(I6:W6="D")*Settings!$B$7+(I6:W6="E")*Settings!$B$8,I$3:W$3)</f>
        <v>86.25</v>
      </c>
      <c r="AC6" s="9" t="n">
        <f aca="false">IF(D6="","",IF(D6&gt;=Settings!$B$39,1,IF(D6&gt;=Settings!$B$40,2,IF(D6&gt;=Settings!$B$41,3,4))))</f>
        <v>2</v>
      </c>
      <c r="AD6" s="9" t="n">
        <f aca="false">IF(AC6="","",IF(H6="",IF(C6="Memecoin",MAX(AC6,3),AC6),IF(H6&gt;=4,MAX(AC6,H6),IF(C6="Memecoin",MAX(AC6,3),MAX(AC6,MIN(H6,AC6+1))))))</f>
        <v>2</v>
      </c>
      <c r="AE6" s="16" t="str">
        <f aca="false">IF(C6="","",IF(SUMPRODUCT((INDEX(Settings!$B$31:$P$34,MATCH(C6,Settings!$A$31:$A$34,0),0)=1)*(I6:W6&lt;&gt;"NA"))&gt;0,"Group NA missing","OK"))</f>
        <v>OK</v>
      </c>
    </row>
    <row r="7" customFormat="false" ht="15" hidden="false" customHeight="true" outlineLevel="0" collapsed="false">
      <c r="A7" s="8" t="s">
        <v>61</v>
      </c>
      <c r="B7" s="9" t="s">
        <v>62</v>
      </c>
      <c r="C7" s="10" t="s">
        <v>57</v>
      </c>
      <c r="D7" s="11" t="n">
        <f aca="false">IF(AA7=0,"",ROUND(AB7/AA7*100,1))</f>
        <v>80</v>
      </c>
      <c r="E7" s="12" t="n">
        <f aca="false">IF(D7="","",ROUND(D7/10,1))</f>
        <v>8</v>
      </c>
      <c r="F7" s="13" t="n">
        <f aca="false">IF(Z7=0,0,AA7/Z7)</f>
        <v>1</v>
      </c>
      <c r="G7" s="14" t="str">
        <f aca="false">IF(D7="","",IF(F7&lt;Settings!$B$42,"Not rated (low coverage)",CHOOSE(AD7,"Exceptional","Strong","Average/Decent","Weak")))</f>
        <v>Strong</v>
      </c>
      <c r="H7" s="15"/>
      <c r="I7" s="15" t="s">
        <v>49</v>
      </c>
      <c r="J7" s="15" t="s">
        <v>52</v>
      </c>
      <c r="K7" s="15" t="s">
        <v>58</v>
      </c>
      <c r="L7" s="15" t="s">
        <v>51</v>
      </c>
      <c r="M7" s="15" t="s">
        <v>49</v>
      </c>
      <c r="N7" s="15" t="s">
        <v>58</v>
      </c>
      <c r="O7" s="15" t="s">
        <v>52</v>
      </c>
      <c r="P7" s="15" t="s">
        <v>49</v>
      </c>
      <c r="Q7" s="15" t="s">
        <v>52</v>
      </c>
      <c r="R7" s="15" t="s">
        <v>49</v>
      </c>
      <c r="S7" s="15" t="s">
        <v>49</v>
      </c>
      <c r="T7" s="15" t="s">
        <v>49</v>
      </c>
      <c r="U7" s="15" t="s">
        <v>49</v>
      </c>
      <c r="V7" s="15" t="s">
        <v>52</v>
      </c>
      <c r="W7" s="15" t="s">
        <v>49</v>
      </c>
      <c r="X7" s="15" t="s">
        <v>53</v>
      </c>
      <c r="Y7" s="10" t="s">
        <v>63</v>
      </c>
      <c r="Z7" s="9" t="n">
        <f aca="false">SUMPRODUCT(--(I7:W7&lt;&gt;"NA"),I$3:W$3)</f>
        <v>100</v>
      </c>
      <c r="AA7" s="9" t="n">
        <f aca="false">SUMPRODUCT(--(I7:W7&lt;&gt;""),--(I7:W7&lt;&gt;"NA"),I$3:W$3)</f>
        <v>100</v>
      </c>
      <c r="AB7" s="9" t="n">
        <f aca="false">SUMPRODUCT((I7:W7="A")*Settings!$B$4+(I7:W7="B")*Settings!$B$5+(I7:W7="C")*Settings!$B$6+(I7:W7="D")*Settings!$B$7+(I7:W7="E")*Settings!$B$8,I$3:W$3)</f>
        <v>80</v>
      </c>
      <c r="AC7" s="9" t="n">
        <f aca="false">IF(D7="","",IF(D7&gt;=Settings!$B$39,1,IF(D7&gt;=Settings!$B$40,2,IF(D7&gt;=Settings!$B$41,3,4))))</f>
        <v>2</v>
      </c>
      <c r="AD7" s="9" t="n">
        <f aca="false">IF(AC7="","",IF(H7="",IF(C7="Memecoin",MAX(AC7,3),AC7),IF(H7&gt;=4,MAX(AC7,H7),IF(C7="Memecoin",MAX(AC7,3),MAX(AC7,MIN(H7,AC7+1))))))</f>
        <v>2</v>
      </c>
      <c r="AE7" s="16" t="str">
        <f aca="false">IF(C7="","",IF(SUMPRODUCT((INDEX(Settings!$B$31:$P$34,MATCH(C7,Settings!$A$31:$A$34,0),0)=1)*(I7:W7&lt;&gt;"NA"))&gt;0,"Group NA missing","OK"))</f>
        <v>OK</v>
      </c>
    </row>
    <row r="8" customFormat="false" ht="15" hidden="false" customHeight="true" outlineLevel="0" collapsed="false">
      <c r="A8" s="8" t="s">
        <v>64</v>
      </c>
      <c r="B8" s="9" t="s">
        <v>65</v>
      </c>
      <c r="C8" s="10" t="s">
        <v>57</v>
      </c>
      <c r="D8" s="11" t="n">
        <f aca="false">IF(AA8=0,"",ROUND(AB8/AA8*100,1))</f>
        <v>73.8</v>
      </c>
      <c r="E8" s="12" t="n">
        <f aca="false">IF(D8="","",ROUND(D8/10,1))</f>
        <v>7.4</v>
      </c>
      <c r="F8" s="13" t="n">
        <f aca="false">IF(Z8=0,0,AA8/Z8)</f>
        <v>1</v>
      </c>
      <c r="G8" s="14" t="str">
        <f aca="false">IF(D8="","",IF(F8&lt;Settings!$B$42,"Not rated (low coverage)",CHOOSE(AD8,"Exceptional","Strong","Average/Decent","Weak")))</f>
        <v>Average/Decent</v>
      </c>
      <c r="H8" s="15"/>
      <c r="I8" s="15" t="s">
        <v>52</v>
      </c>
      <c r="J8" s="15" t="s">
        <v>51</v>
      </c>
      <c r="K8" s="15" t="s">
        <v>51</v>
      </c>
      <c r="L8" s="15" t="s">
        <v>51</v>
      </c>
      <c r="M8" s="15" t="s">
        <v>49</v>
      </c>
      <c r="N8" s="15" t="s">
        <v>58</v>
      </c>
      <c r="O8" s="15" t="s">
        <v>52</v>
      </c>
      <c r="P8" s="15" t="s">
        <v>51</v>
      </c>
      <c r="Q8" s="15" t="s">
        <v>49</v>
      </c>
      <c r="R8" s="15" t="s">
        <v>51</v>
      </c>
      <c r="S8" s="15" t="s">
        <v>49</v>
      </c>
      <c r="T8" s="15" t="s">
        <v>49</v>
      </c>
      <c r="U8" s="15" t="s">
        <v>49</v>
      </c>
      <c r="V8" s="15" t="s">
        <v>52</v>
      </c>
      <c r="W8" s="15" t="s">
        <v>52</v>
      </c>
      <c r="X8" s="15" t="s">
        <v>53</v>
      </c>
      <c r="Y8" s="10" t="s">
        <v>66</v>
      </c>
      <c r="Z8" s="9" t="n">
        <f aca="false">SUMPRODUCT(--(I8:W8&lt;&gt;"NA"),I$3:W$3)</f>
        <v>100</v>
      </c>
      <c r="AA8" s="9" t="n">
        <f aca="false">SUMPRODUCT(--(I8:W8&lt;&gt;""),--(I8:W8&lt;&gt;"NA"),I$3:W$3)</f>
        <v>100</v>
      </c>
      <c r="AB8" s="9" t="n">
        <f aca="false">SUMPRODUCT((I8:W8="A")*Settings!$B$4+(I8:W8="B")*Settings!$B$5+(I8:W8="C")*Settings!$B$6+(I8:W8="D")*Settings!$B$7+(I8:W8="E")*Settings!$B$8,I$3:W$3)</f>
        <v>73.75</v>
      </c>
      <c r="AC8" s="9" t="n">
        <f aca="false">IF(D8="","",IF(D8&gt;=Settings!$B$39,1,IF(D8&gt;=Settings!$B$40,2,IF(D8&gt;=Settings!$B$41,3,4))))</f>
        <v>3</v>
      </c>
      <c r="AD8" s="9" t="n">
        <f aca="false">IF(AC8="","",IF(H8="",IF(C8="Memecoin",MAX(AC8,3),AC8),IF(H8&gt;=4,MAX(AC8,H8),IF(C8="Memecoin",MAX(AC8,3),MAX(AC8,MIN(H8,AC8+1))))))</f>
        <v>3</v>
      </c>
      <c r="AE8" s="16" t="str">
        <f aca="false">IF(C8="","",IF(SUMPRODUCT((INDEX(Settings!$B$31:$P$34,MATCH(C8,Settings!$A$31:$A$34,0),0)=1)*(I8:W8&lt;&gt;"NA"))&gt;0,"Group NA missing","OK"))</f>
        <v>OK</v>
      </c>
    </row>
    <row r="9" customFormat="false" ht="15" hidden="false" customHeight="true" outlineLevel="0" collapsed="false">
      <c r="A9" s="8" t="s">
        <v>67</v>
      </c>
      <c r="B9" s="9" t="s">
        <v>68</v>
      </c>
      <c r="C9" s="10" t="s">
        <v>57</v>
      </c>
      <c r="D9" s="11" t="n">
        <f aca="false">IF(AA9=0,"",ROUND(AB9/AA9*100,1))</f>
        <v>73.7</v>
      </c>
      <c r="E9" s="12" t="n">
        <f aca="false">IF(D9="","",ROUND(D9/10,1))</f>
        <v>7.4</v>
      </c>
      <c r="F9" s="13" t="n">
        <f aca="false">IF(Z9=0,0,AA9/Z9)</f>
        <v>0.95</v>
      </c>
      <c r="G9" s="14" t="str">
        <f aca="false">IF(D9="","",IF(F9&lt;Settings!$B$42,"Not rated (low coverage)",CHOOSE(AD9,"Exceptional","Strong","Average/Decent","Weak")))</f>
        <v>Average/Decent</v>
      </c>
      <c r="H9" s="15" t="n">
        <v>3</v>
      </c>
      <c r="I9" s="15" t="s">
        <v>49</v>
      </c>
      <c r="J9" s="15" t="s">
        <v>49</v>
      </c>
      <c r="K9" s="15" t="s">
        <v>58</v>
      </c>
      <c r="L9" s="15" t="s">
        <v>51</v>
      </c>
      <c r="M9" s="15" t="s">
        <v>49</v>
      </c>
      <c r="N9" s="15" t="s">
        <v>58</v>
      </c>
      <c r="O9" s="15" t="s">
        <v>52</v>
      </c>
      <c r="P9" s="15" t="s">
        <v>51</v>
      </c>
      <c r="Q9" s="15" t="s">
        <v>52</v>
      </c>
      <c r="R9" s="15" t="s">
        <v>51</v>
      </c>
      <c r="S9" s="15" t="s">
        <v>49</v>
      </c>
      <c r="T9" s="15" t="s">
        <v>49</v>
      </c>
      <c r="U9" s="15"/>
      <c r="V9" s="15" t="s">
        <v>51</v>
      </c>
      <c r="W9" s="15" t="s">
        <v>49</v>
      </c>
      <c r="X9" s="15" t="s">
        <v>53</v>
      </c>
      <c r="Y9" s="10" t="s">
        <v>69</v>
      </c>
      <c r="Z9" s="9" t="n">
        <f aca="false">SUMPRODUCT(--(I9:W9&lt;&gt;"NA"),I$3:W$3)</f>
        <v>100</v>
      </c>
      <c r="AA9" s="9" t="n">
        <f aca="false">SUMPRODUCT(--(I9:W9&lt;&gt;""),--(I9:W9&lt;&gt;"NA"),I$3:W$3)</f>
        <v>95</v>
      </c>
      <c r="AB9" s="9" t="n">
        <f aca="false">SUMPRODUCT((I9:W9="A")*Settings!$B$4+(I9:W9="B")*Settings!$B$5+(I9:W9="C")*Settings!$B$6+(I9:W9="D")*Settings!$B$7+(I9:W9="E")*Settings!$B$8,I$3:W$3)</f>
        <v>70</v>
      </c>
      <c r="AC9" s="9" t="n">
        <f aca="false">IF(D9="","",IF(D9&gt;=Settings!$B$39,1,IF(D9&gt;=Settings!$B$40,2,IF(D9&gt;=Settings!$B$41,3,4))))</f>
        <v>3</v>
      </c>
      <c r="AD9" s="9" t="n">
        <f aca="false">IF(AC9="","",IF(H9="",IF(C9="Memecoin",MAX(AC9,3),AC9),IF(H9&gt;=4,MAX(AC9,H9),IF(C9="Memecoin",MAX(AC9,3),MAX(AC9,MIN(H9,AC9+1))))))</f>
        <v>3</v>
      </c>
      <c r="AE9" s="16" t="str">
        <f aca="false">IF(C9="","",IF(SUMPRODUCT((INDEX(Settings!$B$31:$P$34,MATCH(C9,Settings!$A$31:$A$34,0),0)=1)*(I9:W9&lt;&gt;"NA"))&gt;0,"Group NA missing","OK"))</f>
        <v>OK</v>
      </c>
    </row>
    <row r="10" customFormat="false" ht="15" hidden="false" customHeight="true" outlineLevel="0" collapsed="false">
      <c r="A10" s="8" t="s">
        <v>70</v>
      </c>
      <c r="B10" s="9" t="s">
        <v>71</v>
      </c>
      <c r="C10" s="10" t="s">
        <v>57</v>
      </c>
      <c r="D10" s="11" t="n">
        <f aca="false">IF(AA10=0,"",ROUND(AB10/AA10*100,1))</f>
        <v>75</v>
      </c>
      <c r="E10" s="12" t="n">
        <f aca="false">IF(D10="","",ROUND(D10/10,1))</f>
        <v>7.5</v>
      </c>
      <c r="F10" s="13" t="n">
        <f aca="false">IF(Z10=0,0,AA10/Z10)</f>
        <v>1</v>
      </c>
      <c r="G10" s="14" t="str">
        <f aca="false">IF(D10="","",IF(F10&lt;Settings!$B$42,"Not rated (low coverage)",CHOOSE(AD10,"Exceptional","Strong","Average/Decent","Weak")))</f>
        <v>Strong</v>
      </c>
      <c r="H10" s="15"/>
      <c r="I10" s="15" t="s">
        <v>52</v>
      </c>
      <c r="J10" s="15" t="s">
        <v>52</v>
      </c>
      <c r="K10" s="15" t="s">
        <v>72</v>
      </c>
      <c r="L10" s="15" t="s">
        <v>49</v>
      </c>
      <c r="M10" s="15" t="s">
        <v>49</v>
      </c>
      <c r="N10" s="15" t="s">
        <v>51</v>
      </c>
      <c r="O10" s="15" t="s">
        <v>51</v>
      </c>
      <c r="P10" s="15" t="s">
        <v>52</v>
      </c>
      <c r="Q10" s="15" t="s">
        <v>52</v>
      </c>
      <c r="R10" s="15" t="s">
        <v>51</v>
      </c>
      <c r="S10" s="15" t="s">
        <v>49</v>
      </c>
      <c r="T10" s="15" t="s">
        <v>52</v>
      </c>
      <c r="U10" s="15" t="s">
        <v>49</v>
      </c>
      <c r="V10" s="15" t="s">
        <v>52</v>
      </c>
      <c r="W10" s="15" t="s">
        <v>49</v>
      </c>
      <c r="X10" s="15" t="s">
        <v>53</v>
      </c>
      <c r="Y10" s="10" t="s">
        <v>73</v>
      </c>
      <c r="Z10" s="9" t="n">
        <f aca="false">SUMPRODUCT(--(I10:W10&lt;&gt;"NA"),I$3:W$3)</f>
        <v>100</v>
      </c>
      <c r="AA10" s="9" t="n">
        <f aca="false">SUMPRODUCT(--(I10:W10&lt;&gt;""),--(I10:W10&lt;&gt;"NA"),I$3:W$3)</f>
        <v>100</v>
      </c>
      <c r="AB10" s="9" t="n">
        <f aca="false">SUMPRODUCT((I10:W10="A")*Settings!$B$4+(I10:W10="B")*Settings!$B$5+(I10:W10="C")*Settings!$B$6+(I10:W10="D")*Settings!$B$7+(I10:W10="E")*Settings!$B$8,I$3:W$3)</f>
        <v>75</v>
      </c>
      <c r="AC10" s="9" t="n">
        <f aca="false">IF(D10="","",IF(D10&gt;=Settings!$B$39,1,IF(D10&gt;=Settings!$B$40,2,IF(D10&gt;=Settings!$B$41,3,4))))</f>
        <v>2</v>
      </c>
      <c r="AD10" s="9" t="n">
        <f aca="false">IF(AC10="","",IF(H10="",IF(C10="Memecoin",MAX(AC10,3),AC10),IF(H10&gt;=4,MAX(AC10,H10),IF(C10="Memecoin",MAX(AC10,3),MAX(AC10,MIN(H10,AC10+1))))))</f>
        <v>2</v>
      </c>
      <c r="AE10" s="16" t="str">
        <f aca="false">IF(C10="","",IF(SUMPRODUCT((INDEX(Settings!$B$31:$P$34,MATCH(C10,Settings!$A$31:$A$34,0),0)=1)*(I10:W10&lt;&gt;"NA"))&gt;0,"Group NA missing","OK"))</f>
        <v>OK</v>
      </c>
    </row>
    <row r="11" customFormat="false" ht="15" hidden="false" customHeight="true" outlineLevel="0" collapsed="false">
      <c r="A11" s="8" t="s">
        <v>74</v>
      </c>
      <c r="B11" s="9" t="s">
        <v>75</v>
      </c>
      <c r="C11" s="10" t="s">
        <v>57</v>
      </c>
      <c r="D11" s="11" t="n">
        <f aca="false">IF(AA11=0,"",ROUND(AB11/AA11*100,1))</f>
        <v>73.8</v>
      </c>
      <c r="E11" s="12" t="n">
        <f aca="false">IF(D11="","",ROUND(D11/10,1))</f>
        <v>7.4</v>
      </c>
      <c r="F11" s="13" t="n">
        <f aca="false">IF(Z11=0,0,AA11/Z11)</f>
        <v>1</v>
      </c>
      <c r="G11" s="14" t="str">
        <f aca="false">IF(D11="","",IF(F11&lt;Settings!$B$42,"Not rated (low coverage)",CHOOSE(AD11,"Exceptional","Strong","Average/Decent","Weak")))</f>
        <v>Average/Decent</v>
      </c>
      <c r="H11" s="15"/>
      <c r="I11" s="15" t="s">
        <v>52</v>
      </c>
      <c r="J11" s="15" t="s">
        <v>49</v>
      </c>
      <c r="K11" s="15" t="s">
        <v>51</v>
      </c>
      <c r="L11" s="15" t="s">
        <v>58</v>
      </c>
      <c r="M11" s="15" t="s">
        <v>49</v>
      </c>
      <c r="N11" s="15" t="s">
        <v>72</v>
      </c>
      <c r="O11" s="15" t="s">
        <v>52</v>
      </c>
      <c r="P11" s="15" t="s">
        <v>49</v>
      </c>
      <c r="Q11" s="15" t="s">
        <v>52</v>
      </c>
      <c r="R11" s="15" t="s">
        <v>52</v>
      </c>
      <c r="S11" s="15" t="s">
        <v>49</v>
      </c>
      <c r="T11" s="15" t="s">
        <v>49</v>
      </c>
      <c r="U11" s="15" t="s">
        <v>49</v>
      </c>
      <c r="V11" s="15" t="s">
        <v>51</v>
      </c>
      <c r="W11" s="15" t="s">
        <v>49</v>
      </c>
      <c r="X11" s="15" t="s">
        <v>53</v>
      </c>
      <c r="Y11" s="10" t="s">
        <v>76</v>
      </c>
      <c r="Z11" s="9" t="n">
        <f aca="false">SUMPRODUCT(--(I11:W11&lt;&gt;"NA"),I$3:W$3)</f>
        <v>100</v>
      </c>
      <c r="AA11" s="9" t="n">
        <f aca="false">SUMPRODUCT(--(I11:W11&lt;&gt;""),--(I11:W11&lt;&gt;"NA"),I$3:W$3)</f>
        <v>100</v>
      </c>
      <c r="AB11" s="9" t="n">
        <f aca="false">SUMPRODUCT((I11:W11="A")*Settings!$B$4+(I11:W11="B")*Settings!$B$5+(I11:W11="C")*Settings!$B$6+(I11:W11="D")*Settings!$B$7+(I11:W11="E")*Settings!$B$8,I$3:W$3)</f>
        <v>73.75</v>
      </c>
      <c r="AC11" s="9" t="n">
        <f aca="false">IF(D11="","",IF(D11&gt;=Settings!$B$39,1,IF(D11&gt;=Settings!$B$40,2,IF(D11&gt;=Settings!$B$41,3,4))))</f>
        <v>3</v>
      </c>
      <c r="AD11" s="9" t="n">
        <f aca="false">IF(AC11="","",IF(H11="",IF(C11="Memecoin",MAX(AC11,3),AC11),IF(H11&gt;=4,MAX(AC11,H11),IF(C11="Memecoin",MAX(AC11,3),MAX(AC11,MIN(H11,AC11+1))))))</f>
        <v>3</v>
      </c>
      <c r="AE11" s="16" t="str">
        <f aca="false">IF(C11="","",IF(SUMPRODUCT((INDEX(Settings!$B$31:$P$34,MATCH(C11,Settings!$A$31:$A$34,0),0)=1)*(I11:W11&lt;&gt;"NA"))&gt;0,"Group NA missing","OK"))</f>
        <v>OK</v>
      </c>
    </row>
    <row r="12" customFormat="false" ht="15" hidden="false" customHeight="true" outlineLevel="0" collapsed="false">
      <c r="A12" s="8" t="s">
        <v>77</v>
      </c>
      <c r="B12" s="9" t="s">
        <v>78</v>
      </c>
      <c r="C12" s="10" t="s">
        <v>57</v>
      </c>
      <c r="D12" s="11" t="n">
        <f aca="false">IF(AA12=0,"",ROUND(AB12/AA12*100,1))</f>
        <v>78.9</v>
      </c>
      <c r="E12" s="12" t="n">
        <f aca="false">IF(D12="","",ROUND(D12/10,1))</f>
        <v>7.9</v>
      </c>
      <c r="F12" s="13" t="n">
        <f aca="false">IF(Z12=0,0,AA12/Z12)</f>
        <v>0.95</v>
      </c>
      <c r="G12" s="14" t="str">
        <f aca="false">IF(D12="","",IF(F12&lt;Settings!$B$42,"Not rated (low coverage)",CHOOSE(AD12,"Exceptional","Strong","Average/Decent","Weak")))</f>
        <v>Strong</v>
      </c>
      <c r="H12" s="15"/>
      <c r="I12" s="15" t="s">
        <v>49</v>
      </c>
      <c r="J12" s="15" t="s">
        <v>49</v>
      </c>
      <c r="K12" s="15"/>
      <c r="L12" s="15" t="s">
        <v>72</v>
      </c>
      <c r="M12" s="15" t="s">
        <v>49</v>
      </c>
      <c r="N12" s="15" t="s">
        <v>58</v>
      </c>
      <c r="O12" s="15" t="s">
        <v>52</v>
      </c>
      <c r="P12" s="15" t="s">
        <v>52</v>
      </c>
      <c r="Q12" s="15" t="s">
        <v>49</v>
      </c>
      <c r="R12" s="15" t="s">
        <v>52</v>
      </c>
      <c r="S12" s="15" t="s">
        <v>49</v>
      </c>
      <c r="T12" s="15" t="s">
        <v>52</v>
      </c>
      <c r="U12" s="15" t="s">
        <v>49</v>
      </c>
      <c r="V12" s="15" t="s">
        <v>51</v>
      </c>
      <c r="W12" s="15" t="s">
        <v>49</v>
      </c>
      <c r="X12" s="15" t="s">
        <v>53</v>
      </c>
      <c r="Y12" s="10" t="s">
        <v>79</v>
      </c>
      <c r="Z12" s="9" t="n">
        <f aca="false">SUMPRODUCT(--(I12:W12&lt;&gt;"NA"),I$3:W$3)</f>
        <v>100</v>
      </c>
      <c r="AA12" s="9" t="n">
        <f aca="false">SUMPRODUCT(--(I12:W12&lt;&gt;""),--(I12:W12&lt;&gt;"NA"),I$3:W$3)</f>
        <v>95</v>
      </c>
      <c r="AB12" s="9" t="n">
        <f aca="false">SUMPRODUCT((I12:W12="A")*Settings!$B$4+(I12:W12="B")*Settings!$B$5+(I12:W12="C")*Settings!$B$6+(I12:W12="D")*Settings!$B$7+(I12:W12="E")*Settings!$B$8,I$3:W$3)</f>
        <v>75</v>
      </c>
      <c r="AC12" s="9" t="n">
        <f aca="false">IF(D12="","",IF(D12&gt;=Settings!$B$39,1,IF(D12&gt;=Settings!$B$40,2,IF(D12&gt;=Settings!$B$41,3,4))))</f>
        <v>2</v>
      </c>
      <c r="AD12" s="9" t="n">
        <f aca="false">IF(AC12="","",IF(H12="",IF(C12="Memecoin",MAX(AC12,3),AC12),IF(H12&gt;=4,MAX(AC12,H12),IF(C12="Memecoin",MAX(AC12,3),MAX(AC12,MIN(H12,AC12+1))))))</f>
        <v>2</v>
      </c>
      <c r="AE12" s="16" t="str">
        <f aca="false">IF(C12="","",IF(SUMPRODUCT((INDEX(Settings!$B$31:$P$34,MATCH(C12,Settings!$A$31:$A$34,0),0)=1)*(I12:W12&lt;&gt;"NA"))&gt;0,"Group NA missing","OK"))</f>
        <v>OK</v>
      </c>
    </row>
    <row r="13" customFormat="false" ht="15" hidden="false" customHeight="true" outlineLevel="0" collapsed="false">
      <c r="A13" s="8" t="s">
        <v>80</v>
      </c>
      <c r="B13" s="9" t="s">
        <v>81</v>
      </c>
      <c r="C13" s="10" t="s">
        <v>57</v>
      </c>
      <c r="D13" s="11" t="n">
        <f aca="false">IF(AA13=0,"",ROUND(AB13/AA13*100,1))</f>
        <v>68.8</v>
      </c>
      <c r="E13" s="12" t="n">
        <f aca="false">IF(D13="","",ROUND(D13/10,1))</f>
        <v>6.9</v>
      </c>
      <c r="F13" s="13" t="n">
        <f aca="false">IF(Z13=0,0,AA13/Z13)</f>
        <v>1</v>
      </c>
      <c r="G13" s="14" t="str">
        <f aca="false">IF(D13="","",IF(F13&lt;Settings!$B$42,"Not rated (low coverage)",CHOOSE(AD13,"Exceptional","Strong","Average/Decent","Weak")))</f>
        <v>Average/Decent</v>
      </c>
      <c r="H13" s="15"/>
      <c r="I13" s="15" t="s">
        <v>51</v>
      </c>
      <c r="J13" s="15" t="s">
        <v>49</v>
      </c>
      <c r="K13" s="15" t="s">
        <v>72</v>
      </c>
      <c r="L13" s="15" t="s">
        <v>72</v>
      </c>
      <c r="M13" s="15" t="s">
        <v>49</v>
      </c>
      <c r="N13" s="15" t="s">
        <v>51</v>
      </c>
      <c r="O13" s="15" t="s">
        <v>52</v>
      </c>
      <c r="P13" s="15" t="s">
        <v>49</v>
      </c>
      <c r="Q13" s="15" t="s">
        <v>52</v>
      </c>
      <c r="R13" s="15" t="s">
        <v>58</v>
      </c>
      <c r="S13" s="15" t="s">
        <v>49</v>
      </c>
      <c r="T13" s="15" t="s">
        <v>52</v>
      </c>
      <c r="U13" s="15" t="s">
        <v>49</v>
      </c>
      <c r="V13" s="15" t="s">
        <v>51</v>
      </c>
      <c r="W13" s="15" t="s">
        <v>49</v>
      </c>
      <c r="X13" s="15" t="s">
        <v>53</v>
      </c>
      <c r="Y13" s="10" t="s">
        <v>82</v>
      </c>
      <c r="Z13" s="9" t="n">
        <f aca="false">SUMPRODUCT(--(I13:W13&lt;&gt;"NA"),I$3:W$3)</f>
        <v>100</v>
      </c>
      <c r="AA13" s="9" t="n">
        <f aca="false">SUMPRODUCT(--(I13:W13&lt;&gt;""),--(I13:W13&lt;&gt;"NA"),I$3:W$3)</f>
        <v>100</v>
      </c>
      <c r="AB13" s="9" t="n">
        <f aca="false">SUMPRODUCT((I13:W13="A")*Settings!$B$4+(I13:W13="B")*Settings!$B$5+(I13:W13="C")*Settings!$B$6+(I13:W13="D")*Settings!$B$7+(I13:W13="E")*Settings!$B$8,I$3:W$3)</f>
        <v>68.75</v>
      </c>
      <c r="AC13" s="9" t="n">
        <f aca="false">IF(D13="","",IF(D13&gt;=Settings!$B$39,1,IF(D13&gt;=Settings!$B$40,2,IF(D13&gt;=Settings!$B$41,3,4))))</f>
        <v>3</v>
      </c>
      <c r="AD13" s="9" t="n">
        <f aca="false">IF(AC13="","",IF(H13="",IF(C13="Memecoin",MAX(AC13,3),AC13),IF(H13&gt;=4,MAX(AC13,H13),IF(C13="Memecoin",MAX(AC13,3),MAX(AC13,MIN(H13,AC13+1))))))</f>
        <v>3</v>
      </c>
      <c r="AE13" s="16" t="str">
        <f aca="false">IF(C13="","",IF(SUMPRODUCT((INDEX(Settings!$B$31:$P$34,MATCH(C13,Settings!$A$31:$A$34,0),0)=1)*(I13:W13&lt;&gt;"NA"))&gt;0,"Group NA missing","OK"))</f>
        <v>OK</v>
      </c>
    </row>
    <row r="14" customFormat="false" ht="15" hidden="false" customHeight="true" outlineLevel="0" collapsed="false">
      <c r="A14" s="8" t="s">
        <v>83</v>
      </c>
      <c r="B14" s="9" t="s">
        <v>84</v>
      </c>
      <c r="C14" s="10" t="s">
        <v>57</v>
      </c>
      <c r="D14" s="11" t="n">
        <f aca="false">IF(AA14=0,"",ROUND(AB14/AA14*100,1))</f>
        <v>68.1</v>
      </c>
      <c r="E14" s="12" t="n">
        <f aca="false">IF(D14="","",ROUND(D14/10,1))</f>
        <v>6.8</v>
      </c>
      <c r="F14" s="13" t="n">
        <f aca="false">IF(Z14=0,0,AA14/Z14)</f>
        <v>0.947368421052632</v>
      </c>
      <c r="G14" s="14" t="str">
        <f aca="false">IF(D14="","",IF(F14&lt;Settings!$B$42,"Not rated (low coverage)",CHOOSE(AD14,"Exceptional","Strong","Average/Decent","Weak")))</f>
        <v>Average/Decent</v>
      </c>
      <c r="H14" s="15"/>
      <c r="I14" s="15" t="s">
        <v>51</v>
      </c>
      <c r="J14" s="15" t="s">
        <v>52</v>
      </c>
      <c r="K14" s="15" t="s">
        <v>49</v>
      </c>
      <c r="L14" s="15" t="s">
        <v>72</v>
      </c>
      <c r="M14" s="15" t="s">
        <v>49</v>
      </c>
      <c r="N14" s="15" t="s">
        <v>51</v>
      </c>
      <c r="O14" s="15" t="s">
        <v>52</v>
      </c>
      <c r="P14" s="15" t="s">
        <v>52</v>
      </c>
      <c r="Q14" s="15" t="s">
        <v>51</v>
      </c>
      <c r="R14" s="15" t="s">
        <v>51</v>
      </c>
      <c r="S14" s="15" t="s">
        <v>49</v>
      </c>
      <c r="T14" s="15" t="s">
        <v>50</v>
      </c>
      <c r="U14" s="15"/>
      <c r="V14" s="15" t="s">
        <v>51</v>
      </c>
      <c r="W14" s="15" t="s">
        <v>49</v>
      </c>
      <c r="X14" s="15" t="s">
        <v>53</v>
      </c>
      <c r="Y14" s="10" t="s">
        <v>85</v>
      </c>
      <c r="Z14" s="9" t="n">
        <f aca="false">SUMPRODUCT(--(I14:W14&lt;&gt;"NA"),I$3:W$3)</f>
        <v>95</v>
      </c>
      <c r="AA14" s="9" t="n">
        <f aca="false">SUMPRODUCT(--(I14:W14&lt;&gt;""),--(I14:W14&lt;&gt;"NA"),I$3:W$3)</f>
        <v>90</v>
      </c>
      <c r="AB14" s="9" t="n">
        <f aca="false">SUMPRODUCT((I14:W14="A")*Settings!$B$4+(I14:W14="B")*Settings!$B$5+(I14:W14="C")*Settings!$B$6+(I14:W14="D")*Settings!$B$7+(I14:W14="E")*Settings!$B$8,I$3:W$3)</f>
        <v>61.25</v>
      </c>
      <c r="AC14" s="9" t="n">
        <f aca="false">IF(D14="","",IF(D14&gt;=Settings!$B$39,1,IF(D14&gt;=Settings!$B$40,2,IF(D14&gt;=Settings!$B$41,3,4))))</f>
        <v>3</v>
      </c>
      <c r="AD14" s="9" t="n">
        <f aca="false">IF(AC14="","",IF(H14="",IF(C14="Memecoin",MAX(AC14,3),AC14),IF(H14&gt;=4,MAX(AC14,H14),IF(C14="Memecoin",MAX(AC14,3),MAX(AC14,MIN(H14,AC14+1))))))</f>
        <v>3</v>
      </c>
      <c r="AE14" s="16" t="str">
        <f aca="false">IF(C14="","",IF(SUMPRODUCT((INDEX(Settings!$B$31:$P$34,MATCH(C14,Settings!$A$31:$A$34,0),0)=1)*(I14:W14&lt;&gt;"NA"))&gt;0,"Group NA missing","OK"))</f>
        <v>OK</v>
      </c>
    </row>
    <row r="15" customFormat="false" ht="15" hidden="false" customHeight="true" outlineLevel="0" collapsed="false">
      <c r="A15" s="8" t="s">
        <v>86</v>
      </c>
      <c r="B15" s="9" t="s">
        <v>86</v>
      </c>
      <c r="C15" s="10" t="s">
        <v>57</v>
      </c>
      <c r="D15" s="11" t="n">
        <f aca="false">IF(AA15=0,"",ROUND(AB15/AA15*100,1))</f>
        <v>71.1</v>
      </c>
      <c r="E15" s="12" t="n">
        <f aca="false">IF(D15="","",ROUND(D15/10,1))</f>
        <v>7.1</v>
      </c>
      <c r="F15" s="13" t="n">
        <f aca="false">IF(Z15=0,0,AA15/Z15)</f>
        <v>0.95</v>
      </c>
      <c r="G15" s="14" t="str">
        <f aca="false">IF(D15="","",IF(F15&lt;Settings!$B$42,"Not rated (low coverage)",CHOOSE(AD15,"Exceptional","Strong","Average/Decent","Weak")))</f>
        <v>Average/Decent</v>
      </c>
      <c r="H15" s="15" t="n">
        <v>3</v>
      </c>
      <c r="I15" s="15" t="s">
        <v>49</v>
      </c>
      <c r="J15" s="15" t="s">
        <v>49</v>
      </c>
      <c r="K15" s="15" t="s">
        <v>58</v>
      </c>
      <c r="L15" s="15" t="s">
        <v>51</v>
      </c>
      <c r="M15" s="15" t="s">
        <v>49</v>
      </c>
      <c r="N15" s="15" t="s">
        <v>58</v>
      </c>
      <c r="O15" s="15" t="s">
        <v>51</v>
      </c>
      <c r="P15" s="15" t="s">
        <v>49</v>
      </c>
      <c r="Q15" s="15" t="s">
        <v>51</v>
      </c>
      <c r="R15" s="15" t="s">
        <v>58</v>
      </c>
      <c r="S15" s="15" t="s">
        <v>49</v>
      </c>
      <c r="T15" s="15" t="s">
        <v>52</v>
      </c>
      <c r="U15" s="15"/>
      <c r="V15" s="15" t="s">
        <v>49</v>
      </c>
      <c r="W15" s="15" t="s">
        <v>52</v>
      </c>
      <c r="X15" s="15" t="s">
        <v>53</v>
      </c>
      <c r="Y15" s="10" t="s">
        <v>87</v>
      </c>
      <c r="Z15" s="9" t="n">
        <f aca="false">SUMPRODUCT(--(I15:W15&lt;&gt;"NA"),I$3:W$3)</f>
        <v>100</v>
      </c>
      <c r="AA15" s="9" t="n">
        <f aca="false">SUMPRODUCT(--(I15:W15&lt;&gt;""),--(I15:W15&lt;&gt;"NA"),I$3:W$3)</f>
        <v>95</v>
      </c>
      <c r="AB15" s="9" t="n">
        <f aca="false">SUMPRODUCT((I15:W15="A")*Settings!$B$4+(I15:W15="B")*Settings!$B$5+(I15:W15="C")*Settings!$B$6+(I15:W15="D")*Settings!$B$7+(I15:W15="E")*Settings!$B$8,I$3:W$3)</f>
        <v>67.5</v>
      </c>
      <c r="AC15" s="9" t="n">
        <f aca="false">IF(D15="","",IF(D15&gt;=Settings!$B$39,1,IF(D15&gt;=Settings!$B$40,2,IF(D15&gt;=Settings!$B$41,3,4))))</f>
        <v>3</v>
      </c>
      <c r="AD15" s="9" t="n">
        <f aca="false">IF(AC15="","",IF(H15="",IF(C15="Memecoin",MAX(AC15,3),AC15),IF(H15&gt;=4,MAX(AC15,H15),IF(C15="Memecoin",MAX(AC15,3),MAX(AC15,MIN(H15,AC15+1))))))</f>
        <v>3</v>
      </c>
      <c r="AE15" s="16" t="str">
        <f aca="false">IF(C15="","",IF(SUMPRODUCT((INDEX(Settings!$B$31:$P$34,MATCH(C15,Settings!$A$31:$A$34,0),0)=1)*(I15:W15&lt;&gt;"NA"))&gt;0,"Group NA missing","OK"))</f>
        <v>OK</v>
      </c>
    </row>
    <row r="16" customFormat="false" ht="15" hidden="false" customHeight="true" outlineLevel="0" collapsed="false">
      <c r="A16" s="8" t="s">
        <v>88</v>
      </c>
      <c r="B16" s="9" t="s">
        <v>89</v>
      </c>
      <c r="C16" s="10" t="s">
        <v>57</v>
      </c>
      <c r="D16" s="11" t="n">
        <f aca="false">IF(AA16=0,"",ROUND(AB16/AA16*100,1))</f>
        <v>79.2</v>
      </c>
      <c r="E16" s="12" t="n">
        <f aca="false">IF(D16="","",ROUND(D16/10,1))</f>
        <v>7.9</v>
      </c>
      <c r="F16" s="13" t="n">
        <f aca="false">IF(Z16=0,0,AA16/Z16)</f>
        <v>0.9</v>
      </c>
      <c r="G16" s="14" t="str">
        <f aca="false">IF(D16="","",IF(F16&lt;Settings!$B$42,"Not rated (low coverage)",CHOOSE(AD16,"Exceptional","Strong","Average/Decent","Weak")))</f>
        <v>Strong</v>
      </c>
      <c r="H16" s="15"/>
      <c r="I16" s="15" t="s">
        <v>49</v>
      </c>
      <c r="J16" s="15" t="s">
        <v>49</v>
      </c>
      <c r="K16" s="15"/>
      <c r="L16" s="15" t="s">
        <v>51</v>
      </c>
      <c r="M16" s="15" t="s">
        <v>49</v>
      </c>
      <c r="N16" s="15" t="s">
        <v>49</v>
      </c>
      <c r="O16" s="15" t="s">
        <v>52</v>
      </c>
      <c r="P16" s="15" t="s">
        <v>52</v>
      </c>
      <c r="Q16" s="15" t="s">
        <v>51</v>
      </c>
      <c r="R16" s="15" t="s">
        <v>51</v>
      </c>
      <c r="S16" s="15" t="s">
        <v>49</v>
      </c>
      <c r="T16" s="15" t="s">
        <v>52</v>
      </c>
      <c r="U16" s="15"/>
      <c r="V16" s="15" t="s">
        <v>51</v>
      </c>
      <c r="W16" s="15" t="s">
        <v>51</v>
      </c>
      <c r="X16" s="15" t="s">
        <v>53</v>
      </c>
      <c r="Y16" s="10" t="s">
        <v>90</v>
      </c>
      <c r="Z16" s="9" t="n">
        <f aca="false">SUMPRODUCT(--(I16:W16&lt;&gt;"NA"),I$3:W$3)</f>
        <v>100</v>
      </c>
      <c r="AA16" s="9" t="n">
        <f aca="false">SUMPRODUCT(--(I16:W16&lt;&gt;""),--(I16:W16&lt;&gt;"NA"),I$3:W$3)</f>
        <v>90</v>
      </c>
      <c r="AB16" s="9" t="n">
        <f aca="false">SUMPRODUCT((I16:W16="A")*Settings!$B$4+(I16:W16="B")*Settings!$B$5+(I16:W16="C")*Settings!$B$6+(I16:W16="D")*Settings!$B$7+(I16:W16="E")*Settings!$B$8,I$3:W$3)</f>
        <v>71.25</v>
      </c>
      <c r="AC16" s="9" t="n">
        <f aca="false">IF(D16="","",IF(D16&gt;=Settings!$B$39,1,IF(D16&gt;=Settings!$B$40,2,IF(D16&gt;=Settings!$B$41,3,4))))</f>
        <v>2</v>
      </c>
      <c r="AD16" s="9" t="n">
        <f aca="false">IF(AC16="","",IF(H16="",IF(C16="Memecoin",MAX(AC16,3),AC16),IF(H16&gt;=4,MAX(AC16,H16),IF(C16="Memecoin",MAX(AC16,3),MAX(AC16,MIN(H16,AC16+1))))))</f>
        <v>2</v>
      </c>
      <c r="AE16" s="16" t="str">
        <f aca="false">IF(C16="","",IF(SUMPRODUCT((INDEX(Settings!$B$31:$P$34,MATCH(C16,Settings!$A$31:$A$34,0),0)=1)*(I16:W16&lt;&gt;"NA"))&gt;0,"Group NA missing","OK"))</f>
        <v>OK</v>
      </c>
    </row>
    <row r="17" customFormat="false" ht="15" hidden="false" customHeight="true" outlineLevel="0" collapsed="false">
      <c r="A17" s="8" t="s">
        <v>91</v>
      </c>
      <c r="B17" s="9" t="s">
        <v>92</v>
      </c>
      <c r="C17" s="10" t="s">
        <v>57</v>
      </c>
      <c r="D17" s="11" t="n">
        <f aca="false">IF(AA17=0,"",ROUND(AB17/AA17*100,1))</f>
        <v>69.1</v>
      </c>
      <c r="E17" s="12" t="n">
        <f aca="false">IF(D17="","",ROUND(D17/10,1))</f>
        <v>6.9</v>
      </c>
      <c r="F17" s="13" t="n">
        <f aca="false">IF(Z17=0,0,AA17/Z17)</f>
        <v>0.85</v>
      </c>
      <c r="G17" s="14" t="str">
        <f aca="false">IF(D17="","",IF(F17&lt;Settings!$B$42,"Not rated (low coverage)",CHOOSE(AD17,"Exceptional","Strong","Average/Decent","Weak")))</f>
        <v>Average/Decent</v>
      </c>
      <c r="H17" s="15"/>
      <c r="I17" s="15" t="s">
        <v>49</v>
      </c>
      <c r="J17" s="15" t="s">
        <v>49</v>
      </c>
      <c r="K17" s="15" t="s">
        <v>72</v>
      </c>
      <c r="L17" s="15" t="s">
        <v>51</v>
      </c>
      <c r="M17" s="15" t="s">
        <v>52</v>
      </c>
      <c r="N17" s="15"/>
      <c r="O17" s="15" t="s">
        <v>51</v>
      </c>
      <c r="P17" s="15" t="s">
        <v>51</v>
      </c>
      <c r="Q17" s="15" t="s">
        <v>51</v>
      </c>
      <c r="R17" s="15" t="s">
        <v>51</v>
      </c>
      <c r="S17" s="15" t="s">
        <v>49</v>
      </c>
      <c r="T17" s="15" t="s">
        <v>49</v>
      </c>
      <c r="U17" s="15"/>
      <c r="V17" s="15" t="s">
        <v>58</v>
      </c>
      <c r="W17" s="15" t="s">
        <v>49</v>
      </c>
      <c r="X17" s="15" t="s">
        <v>53</v>
      </c>
      <c r="Y17" s="10" t="s">
        <v>93</v>
      </c>
      <c r="Z17" s="9" t="n">
        <f aca="false">SUMPRODUCT(--(I17:W17&lt;&gt;"NA"),I$3:W$3)</f>
        <v>100</v>
      </c>
      <c r="AA17" s="9" t="n">
        <f aca="false">SUMPRODUCT(--(I17:W17&lt;&gt;""),--(I17:W17&lt;&gt;"NA"),I$3:W$3)</f>
        <v>85</v>
      </c>
      <c r="AB17" s="9" t="n">
        <f aca="false">SUMPRODUCT((I17:W17="A")*Settings!$B$4+(I17:W17="B")*Settings!$B$5+(I17:W17="C")*Settings!$B$6+(I17:W17="D")*Settings!$B$7+(I17:W17="E")*Settings!$B$8,I$3:W$3)</f>
        <v>58.75</v>
      </c>
      <c r="AC17" s="9" t="n">
        <f aca="false">IF(D17="","",IF(D17&gt;=Settings!$B$39,1,IF(D17&gt;=Settings!$B$40,2,IF(D17&gt;=Settings!$B$41,3,4))))</f>
        <v>3</v>
      </c>
      <c r="AD17" s="9" t="n">
        <f aca="false">IF(AC17="","",IF(H17="",IF(C17="Memecoin",MAX(AC17,3),AC17),IF(H17&gt;=4,MAX(AC17,H17),IF(C17="Memecoin",MAX(AC17,3),MAX(AC17,MIN(H17,AC17+1))))))</f>
        <v>3</v>
      </c>
      <c r="AE17" s="16" t="str">
        <f aca="false">IF(C17="","",IF(SUMPRODUCT((INDEX(Settings!$B$31:$P$34,MATCH(C17,Settings!$A$31:$A$34,0),0)=1)*(I17:W17&lt;&gt;"NA"))&gt;0,"Group NA missing","OK"))</f>
        <v>OK</v>
      </c>
    </row>
    <row r="18" customFormat="false" ht="15" hidden="false" customHeight="true" outlineLevel="0" collapsed="false">
      <c r="A18" s="8" t="s">
        <v>94</v>
      </c>
      <c r="B18" s="9" t="s">
        <v>95</v>
      </c>
      <c r="C18" s="10" t="s">
        <v>48</v>
      </c>
      <c r="D18" s="11" t="n">
        <f aca="false">IF(AA18=0,"",ROUND(AB18/AA18*100,1))</f>
        <v>77.9</v>
      </c>
      <c r="E18" s="12" t="n">
        <f aca="false">IF(D18="","",ROUND(D18/10,1))</f>
        <v>7.8</v>
      </c>
      <c r="F18" s="13" t="n">
        <f aca="false">IF(Z18=0,0,AA18/Z18)</f>
        <v>0.944444444444444</v>
      </c>
      <c r="G18" s="14" t="str">
        <f aca="false">IF(D18="","",IF(F18&lt;Settings!$B$42,"Not rated (low coverage)",CHOOSE(AD18,"Exceptional","Strong","Average/Decent","Weak")))</f>
        <v>Strong</v>
      </c>
      <c r="H18" s="15"/>
      <c r="I18" s="15" t="s">
        <v>49</v>
      </c>
      <c r="J18" s="15" t="s">
        <v>49</v>
      </c>
      <c r="K18" s="15" t="s">
        <v>49</v>
      </c>
      <c r="L18" s="15" t="s">
        <v>50</v>
      </c>
      <c r="M18" s="15" t="s">
        <v>49</v>
      </c>
      <c r="N18" s="15" t="s">
        <v>58</v>
      </c>
      <c r="O18" s="15" t="s">
        <v>58</v>
      </c>
      <c r="P18" s="15" t="s">
        <v>52</v>
      </c>
      <c r="Q18" s="15" t="s">
        <v>51</v>
      </c>
      <c r="R18" s="15" t="s">
        <v>49</v>
      </c>
      <c r="S18" s="15" t="s">
        <v>49</v>
      </c>
      <c r="T18" s="15" t="s">
        <v>50</v>
      </c>
      <c r="U18" s="15"/>
      <c r="V18" s="15" t="s">
        <v>52</v>
      </c>
      <c r="W18" s="15" t="s">
        <v>49</v>
      </c>
      <c r="X18" s="15" t="s">
        <v>53</v>
      </c>
      <c r="Y18" s="10" t="s">
        <v>96</v>
      </c>
      <c r="Z18" s="9" t="n">
        <f aca="false">SUMPRODUCT(--(I18:W18&lt;&gt;"NA"),I$3:W$3)</f>
        <v>90</v>
      </c>
      <c r="AA18" s="9" t="n">
        <f aca="false">SUMPRODUCT(--(I18:W18&lt;&gt;""),--(I18:W18&lt;&gt;"NA"),I$3:W$3)</f>
        <v>85</v>
      </c>
      <c r="AB18" s="9" t="n">
        <f aca="false">SUMPRODUCT((I18:W18="A")*Settings!$B$4+(I18:W18="B")*Settings!$B$5+(I18:W18="C")*Settings!$B$6+(I18:W18="D")*Settings!$B$7+(I18:W18="E")*Settings!$B$8,I$3:W$3)</f>
        <v>66.25</v>
      </c>
      <c r="AC18" s="9" t="n">
        <f aca="false">IF(D18="","",IF(D18&gt;=Settings!$B$39,1,IF(D18&gt;=Settings!$B$40,2,IF(D18&gt;=Settings!$B$41,3,4))))</f>
        <v>2</v>
      </c>
      <c r="AD18" s="9" t="n">
        <f aca="false">IF(AC18="","",IF(H18="",IF(C18="Memecoin",MAX(AC18,3),AC18),IF(H18&gt;=4,MAX(AC18,H18),IF(C18="Memecoin",MAX(AC18,3),MAX(AC18,MIN(H18,AC18+1))))))</f>
        <v>2</v>
      </c>
      <c r="AE18" s="16" t="str">
        <f aca="false">IF(C18="","",IF(SUMPRODUCT((INDEX(Settings!$B$31:$P$34,MATCH(C18,Settings!$A$31:$A$34,0),0)=1)*(I18:W18&lt;&gt;"NA"))&gt;0,"Group NA missing","OK"))</f>
        <v>OK</v>
      </c>
    </row>
    <row r="19" customFormat="false" ht="15" hidden="false" customHeight="true" outlineLevel="0" collapsed="false">
      <c r="A19" s="8" t="s">
        <v>97</v>
      </c>
      <c r="B19" s="9" t="s">
        <v>98</v>
      </c>
      <c r="C19" s="10" t="s">
        <v>48</v>
      </c>
      <c r="D19" s="11" t="n">
        <f aca="false">IF(AA19=0,"",ROUND(AB19/AA19*100,1))</f>
        <v>89.7</v>
      </c>
      <c r="E19" s="12" t="n">
        <f aca="false">IF(D19="","",ROUND(D19/10,1))</f>
        <v>9</v>
      </c>
      <c r="F19" s="13" t="n">
        <f aca="false">IF(Z19=0,0,AA19/Z19)</f>
        <v>0.944444444444444</v>
      </c>
      <c r="G19" s="14" t="str">
        <f aca="false">IF(D19="","",IF(F19&lt;Settings!$B$42,"Not rated (low coverage)",CHOOSE(AD19,"Exceptional","Strong","Average/Decent","Weak")))</f>
        <v>Average/Decent</v>
      </c>
      <c r="H19" s="15" t="n">
        <v>3</v>
      </c>
      <c r="I19" s="15" t="s">
        <v>49</v>
      </c>
      <c r="J19" s="15" t="s">
        <v>49</v>
      </c>
      <c r="K19" s="15" t="s">
        <v>52</v>
      </c>
      <c r="L19" s="15" t="s">
        <v>50</v>
      </c>
      <c r="M19" s="15" t="s">
        <v>49</v>
      </c>
      <c r="N19" s="15" t="s">
        <v>49</v>
      </c>
      <c r="O19" s="15" t="s">
        <v>51</v>
      </c>
      <c r="P19" s="15" t="s">
        <v>52</v>
      </c>
      <c r="Q19" s="15" t="s">
        <v>52</v>
      </c>
      <c r="R19" s="15" t="s">
        <v>49</v>
      </c>
      <c r="S19" s="15" t="s">
        <v>49</v>
      </c>
      <c r="T19" s="15" t="s">
        <v>50</v>
      </c>
      <c r="U19" s="15"/>
      <c r="V19" s="15" t="s">
        <v>52</v>
      </c>
      <c r="W19" s="15" t="s">
        <v>49</v>
      </c>
      <c r="X19" s="15" t="s">
        <v>53</v>
      </c>
      <c r="Y19" s="10" t="s">
        <v>99</v>
      </c>
      <c r="Z19" s="9" t="n">
        <f aca="false">SUMPRODUCT(--(I19:W19&lt;&gt;"NA"),I$3:W$3)</f>
        <v>90</v>
      </c>
      <c r="AA19" s="9" t="n">
        <f aca="false">SUMPRODUCT(--(I19:W19&lt;&gt;""),--(I19:W19&lt;&gt;"NA"),I$3:W$3)</f>
        <v>85</v>
      </c>
      <c r="AB19" s="9" t="n">
        <f aca="false">SUMPRODUCT((I19:W19="A")*Settings!$B$4+(I19:W19="B")*Settings!$B$5+(I19:W19="C")*Settings!$B$6+(I19:W19="D")*Settings!$B$7+(I19:W19="E")*Settings!$B$8,I$3:W$3)</f>
        <v>76.25</v>
      </c>
      <c r="AC19" s="9" t="n">
        <f aca="false">IF(D19="","",IF(D19&gt;=Settings!$B$39,1,IF(D19&gt;=Settings!$B$40,2,IF(D19&gt;=Settings!$B$41,3,4))))</f>
        <v>2</v>
      </c>
      <c r="AD19" s="9" t="n">
        <f aca="false">IF(AC19="","",IF(H19="",IF(C19="Memecoin",MAX(AC19,3),AC19),IF(H19&gt;=4,MAX(AC19,H19),IF(C19="Memecoin",MAX(AC19,3),MAX(AC19,MIN(H19,AC19+1))))))</f>
        <v>3</v>
      </c>
      <c r="AE19" s="16" t="str">
        <f aca="false">IF(C19="","",IF(SUMPRODUCT((INDEX(Settings!$B$31:$P$34,MATCH(C19,Settings!$A$31:$A$34,0),0)=1)*(I19:W19&lt;&gt;"NA"))&gt;0,"Group NA missing","OK"))</f>
        <v>OK</v>
      </c>
    </row>
    <row r="20" customFormat="false" ht="15" hidden="false" customHeight="true" outlineLevel="0" collapsed="false">
      <c r="A20" s="8" t="s">
        <v>100</v>
      </c>
      <c r="B20" s="9" t="s">
        <v>101</v>
      </c>
      <c r="C20" s="10" t="s">
        <v>102</v>
      </c>
      <c r="D20" s="11" t="n">
        <f aca="false">IF(AA20=0,"",ROUND(AB20/AA20*100,1))</f>
        <v>77.9</v>
      </c>
      <c r="E20" s="12" t="n">
        <f aca="false">IF(D20="","",ROUND(D20/10,1))</f>
        <v>7.8</v>
      </c>
      <c r="F20" s="13" t="n">
        <f aca="false">IF(Z20=0,0,AA20/Z20)</f>
        <v>0.944444444444444</v>
      </c>
      <c r="G20" s="14" t="str">
        <f aca="false">IF(D20="","",IF(F20&lt;Settings!$B$42,"Not rated (low coverage)",CHOOSE(AD20,"Exceptional","Strong","Average/Decent","Weak")))</f>
        <v>Average/Decent</v>
      </c>
      <c r="H20" s="15" t="n">
        <v>3</v>
      </c>
      <c r="I20" s="15" t="s">
        <v>49</v>
      </c>
      <c r="J20" s="15" t="s">
        <v>49</v>
      </c>
      <c r="K20" s="15" t="s">
        <v>49</v>
      </c>
      <c r="L20" s="15" t="s">
        <v>50</v>
      </c>
      <c r="M20" s="15" t="s">
        <v>49</v>
      </c>
      <c r="N20" s="15" t="s">
        <v>52</v>
      </c>
      <c r="O20" s="15" t="s">
        <v>52</v>
      </c>
      <c r="P20" s="15" t="s">
        <v>52</v>
      </c>
      <c r="Q20" s="15" t="s">
        <v>49</v>
      </c>
      <c r="R20" s="15" t="s">
        <v>49</v>
      </c>
      <c r="S20" s="15" t="s">
        <v>72</v>
      </c>
      <c r="T20" s="15" t="s">
        <v>50</v>
      </c>
      <c r="U20" s="15"/>
      <c r="V20" s="15" t="s">
        <v>52</v>
      </c>
      <c r="W20" s="15" t="s">
        <v>51</v>
      </c>
      <c r="X20" s="15" t="s">
        <v>53</v>
      </c>
      <c r="Y20" s="10" t="s">
        <v>103</v>
      </c>
      <c r="Z20" s="9" t="n">
        <f aca="false">SUMPRODUCT(--(I20:W20&lt;&gt;"NA"),I$3:W$3)</f>
        <v>90</v>
      </c>
      <c r="AA20" s="9" t="n">
        <f aca="false">SUMPRODUCT(--(I20:W20&lt;&gt;""),--(I20:W20&lt;&gt;"NA"),I$3:W$3)</f>
        <v>85</v>
      </c>
      <c r="AB20" s="9" t="n">
        <f aca="false">SUMPRODUCT((I20:W20="A")*Settings!$B$4+(I20:W20="B")*Settings!$B$5+(I20:W20="C")*Settings!$B$6+(I20:W20="D")*Settings!$B$7+(I20:W20="E")*Settings!$B$8,I$3:W$3)</f>
        <v>66.25</v>
      </c>
      <c r="AC20" s="9" t="n">
        <f aca="false">IF(D20="","",IF(D20&gt;=Settings!$B$39,1,IF(D20&gt;=Settings!$B$40,2,IF(D20&gt;=Settings!$B$41,3,4))))</f>
        <v>2</v>
      </c>
      <c r="AD20" s="9" t="n">
        <f aca="false">IF(AC20="","",IF(H20="",IF(C20="Memecoin",MAX(AC20,3),AC20),IF(H20&gt;=4,MAX(AC20,H20),IF(C20="Memecoin",MAX(AC20,3),MAX(AC20,MIN(H20,AC20+1))))))</f>
        <v>3</v>
      </c>
      <c r="AE20" s="16" t="str">
        <f aca="false">IF(C20="","",IF(SUMPRODUCT((INDEX(Settings!$B$31:$P$34,MATCH(C20,Settings!$A$31:$A$34,0),0)=1)*(I20:W20&lt;&gt;"NA"))&gt;0,"Group NA missing","OK"))</f>
        <v>OK</v>
      </c>
    </row>
    <row r="21" customFormat="false" ht="15" hidden="false" customHeight="true" outlineLevel="0" collapsed="false">
      <c r="A21" s="8" t="s">
        <v>104</v>
      </c>
      <c r="B21" s="9" t="s">
        <v>105</v>
      </c>
      <c r="C21" s="10" t="s">
        <v>102</v>
      </c>
      <c r="D21" s="11" t="n">
        <f aca="false">IF(AA21=0,"",ROUND(AB21/AA21*100,1))</f>
        <v>60.9</v>
      </c>
      <c r="E21" s="12" t="n">
        <f aca="false">IF(D21="","",ROUND(D21/10,1))</f>
        <v>6.1</v>
      </c>
      <c r="F21" s="13" t="n">
        <f aca="false">IF(Z21=0,0,AA21/Z21)</f>
        <v>0.888888888888889</v>
      </c>
      <c r="G21" s="14" t="str">
        <f aca="false">IF(D21="","",IF(F21&lt;Settings!$B$42,"Not rated (low coverage)",CHOOSE(AD21,"Exceptional","Strong","Average/Decent","Weak")))</f>
        <v>Average/Decent</v>
      </c>
      <c r="H21" s="15" t="n">
        <v>3</v>
      </c>
      <c r="I21" s="15" t="s">
        <v>49</v>
      </c>
      <c r="J21" s="15" t="s">
        <v>49</v>
      </c>
      <c r="K21" s="15"/>
      <c r="L21" s="15" t="s">
        <v>50</v>
      </c>
      <c r="M21" s="15" t="s">
        <v>52</v>
      </c>
      <c r="N21" s="15" t="s">
        <v>52</v>
      </c>
      <c r="O21" s="15" t="s">
        <v>51</v>
      </c>
      <c r="P21" s="15" t="s">
        <v>51</v>
      </c>
      <c r="Q21" s="15" t="s">
        <v>51</v>
      </c>
      <c r="R21" s="15" t="s">
        <v>51</v>
      </c>
      <c r="S21" s="15" t="s">
        <v>72</v>
      </c>
      <c r="T21" s="15" t="s">
        <v>50</v>
      </c>
      <c r="U21" s="15"/>
      <c r="V21" s="15" t="s">
        <v>51</v>
      </c>
      <c r="W21" s="15" t="s">
        <v>52</v>
      </c>
      <c r="X21" s="15" t="s">
        <v>53</v>
      </c>
      <c r="Y21" s="10" t="s">
        <v>106</v>
      </c>
      <c r="Z21" s="9" t="n">
        <f aca="false">SUMPRODUCT(--(I21:W21&lt;&gt;"NA"),I$3:W$3)</f>
        <v>90</v>
      </c>
      <c r="AA21" s="9" t="n">
        <f aca="false">SUMPRODUCT(--(I21:W21&lt;&gt;""),--(I21:W21&lt;&gt;"NA"),I$3:W$3)</f>
        <v>80</v>
      </c>
      <c r="AB21" s="9" t="n">
        <f aca="false">SUMPRODUCT((I21:W21="A")*Settings!$B$4+(I21:W21="B")*Settings!$B$5+(I21:W21="C")*Settings!$B$6+(I21:W21="D")*Settings!$B$7+(I21:W21="E")*Settings!$B$8,I$3:W$3)</f>
        <v>48.75</v>
      </c>
      <c r="AC21" s="9" t="n">
        <f aca="false">IF(D21="","",IF(D21&gt;=Settings!$B$39,1,IF(D21&gt;=Settings!$B$40,2,IF(D21&gt;=Settings!$B$41,3,4))))</f>
        <v>3</v>
      </c>
      <c r="AD21" s="9" t="n">
        <f aca="false">IF(AC21="","",IF(H21="",IF(C21="Memecoin",MAX(AC21,3),AC21),IF(H21&gt;=4,MAX(AC21,H21),IF(C21="Memecoin",MAX(AC21,3),MAX(AC21,MIN(H21,AC21+1))))))</f>
        <v>3</v>
      </c>
      <c r="AE21" s="16" t="str">
        <f aca="false">IF(C21="","",IF(SUMPRODUCT((INDEX(Settings!$B$31:$P$34,MATCH(C21,Settings!$A$31:$A$34,0),0)=1)*(I21:W21&lt;&gt;"NA"))&gt;0,"Group NA missing","OK"))</f>
        <v>OK</v>
      </c>
    </row>
    <row r="22" customFormat="false" ht="15" hidden="false" customHeight="true" outlineLevel="0" collapsed="false">
      <c r="A22" s="8" t="s">
        <v>107</v>
      </c>
      <c r="B22" s="9" t="s">
        <v>108</v>
      </c>
      <c r="C22" s="10" t="s">
        <v>109</v>
      </c>
      <c r="D22" s="11" t="n">
        <f aca="false">IF(AA22=0,"",ROUND(AB22/AA22*100,1))</f>
        <v>78.8</v>
      </c>
      <c r="E22" s="12" t="n">
        <f aca="false">IF(D22="","",ROUND(D22/10,1))</f>
        <v>7.9</v>
      </c>
      <c r="F22" s="13" t="n">
        <f aca="false">IF(Z22=0,0,AA22/Z22)</f>
        <v>1</v>
      </c>
      <c r="G22" s="14" t="str">
        <f aca="false">IF(D22="","",IF(F22&lt;Settings!$B$42,"Not rated (low coverage)",CHOOSE(AD22,"Exceptional","Strong","Average/Decent","Weak")))</f>
        <v>Strong</v>
      </c>
      <c r="H22" s="15"/>
      <c r="I22" s="15" t="s">
        <v>50</v>
      </c>
      <c r="J22" s="15" t="s">
        <v>50</v>
      </c>
      <c r="K22" s="15" t="s">
        <v>50</v>
      </c>
      <c r="L22" s="15" t="s">
        <v>50</v>
      </c>
      <c r="M22" s="15" t="s">
        <v>49</v>
      </c>
      <c r="N22" s="15" t="s">
        <v>52</v>
      </c>
      <c r="O22" s="15" t="s">
        <v>58</v>
      </c>
      <c r="P22" s="15" t="s">
        <v>49</v>
      </c>
      <c r="Q22" s="15" t="s">
        <v>51</v>
      </c>
      <c r="R22" s="15" t="s">
        <v>52</v>
      </c>
      <c r="S22" s="15" t="s">
        <v>49</v>
      </c>
      <c r="T22" s="15" t="s">
        <v>50</v>
      </c>
      <c r="U22" s="15" t="s">
        <v>49</v>
      </c>
      <c r="V22" s="15" t="s">
        <v>52</v>
      </c>
      <c r="W22" s="15" t="s">
        <v>50</v>
      </c>
      <c r="X22" s="15" t="s">
        <v>53</v>
      </c>
      <c r="Y22" s="10" t="s">
        <v>110</v>
      </c>
      <c r="Z22" s="9" t="n">
        <f aca="false">SUMPRODUCT(--(I22:W22&lt;&gt;"NA"),I$3:W$3)</f>
        <v>65</v>
      </c>
      <c r="AA22" s="9" t="n">
        <f aca="false">SUMPRODUCT(--(I22:W22&lt;&gt;""),--(I22:W22&lt;&gt;"NA"),I$3:W$3)</f>
        <v>65</v>
      </c>
      <c r="AB22" s="9" t="n">
        <f aca="false">SUMPRODUCT((I22:W22="A")*Settings!$B$4+(I22:W22="B")*Settings!$B$5+(I22:W22="C")*Settings!$B$6+(I22:W22="D")*Settings!$B$7+(I22:W22="E")*Settings!$B$8,I$3:W$3)</f>
        <v>51.25</v>
      </c>
      <c r="AC22" s="9" t="n">
        <f aca="false">IF(D22="","",IF(D22&gt;=Settings!$B$39,1,IF(D22&gt;=Settings!$B$40,2,IF(D22&gt;=Settings!$B$41,3,4))))</f>
        <v>2</v>
      </c>
      <c r="AD22" s="9" t="n">
        <f aca="false">IF(AC22="","",IF(H22="",IF(C22="Memecoin",MAX(AC22,3),AC22),IF(H22&gt;=4,MAX(AC22,H22),IF(C22="Memecoin",MAX(AC22,3),MAX(AC22,MIN(H22,AC22+1))))))</f>
        <v>2</v>
      </c>
      <c r="AE22" s="16" t="str">
        <f aca="false">IF(C22="","",IF(SUMPRODUCT((INDEX(Settings!$B$31:$P$34,MATCH(C22,Settings!$A$31:$A$34,0),0)=1)*(I22:W22&lt;&gt;"NA"))&gt;0,"Group NA missing","OK"))</f>
        <v>OK</v>
      </c>
    </row>
    <row r="23" customFormat="false" ht="15" hidden="false" customHeight="true" outlineLevel="0" collapsed="false">
      <c r="A23" s="8" t="s">
        <v>111</v>
      </c>
      <c r="B23" s="9" t="s">
        <v>112</v>
      </c>
      <c r="C23" s="10" t="s">
        <v>109</v>
      </c>
      <c r="D23" s="11" t="n">
        <f aca="false">IF(AA23=0,"",ROUND(AB23/AA23*100,1))</f>
        <v>70.8</v>
      </c>
      <c r="E23" s="12" t="n">
        <f aca="false">IF(D23="","",ROUND(D23/10,1))</f>
        <v>7.1</v>
      </c>
      <c r="F23" s="13" t="n">
        <f aca="false">IF(Z23=0,0,AA23/Z23)</f>
        <v>0.923076923076923</v>
      </c>
      <c r="G23" s="14" t="str">
        <f aca="false">IF(D23="","",IF(F23&lt;Settings!$B$42,"Not rated (low coverage)",CHOOSE(AD23,"Exceptional","Strong","Average/Decent","Weak")))</f>
        <v>Average/Decent</v>
      </c>
      <c r="H23" s="15"/>
      <c r="I23" s="15" t="s">
        <v>50</v>
      </c>
      <c r="J23" s="15" t="s">
        <v>50</v>
      </c>
      <c r="K23" s="15" t="s">
        <v>50</v>
      </c>
      <c r="L23" s="15" t="s">
        <v>50</v>
      </c>
      <c r="M23" s="15" t="s">
        <v>49</v>
      </c>
      <c r="N23" s="15" t="s">
        <v>51</v>
      </c>
      <c r="O23" s="15" t="s">
        <v>51</v>
      </c>
      <c r="P23" s="15" t="s">
        <v>49</v>
      </c>
      <c r="Q23" s="15" t="s">
        <v>51</v>
      </c>
      <c r="R23" s="15" t="s">
        <v>72</v>
      </c>
      <c r="S23" s="15" t="s">
        <v>49</v>
      </c>
      <c r="T23" s="15" t="s">
        <v>50</v>
      </c>
      <c r="U23" s="15"/>
      <c r="V23" s="15" t="s">
        <v>49</v>
      </c>
      <c r="W23" s="15" t="s">
        <v>50</v>
      </c>
      <c r="X23" s="15" t="s">
        <v>53</v>
      </c>
      <c r="Y23" s="10" t="s">
        <v>113</v>
      </c>
      <c r="Z23" s="9" t="n">
        <f aca="false">SUMPRODUCT(--(I23:W23&lt;&gt;"NA"),I$3:W$3)</f>
        <v>65</v>
      </c>
      <c r="AA23" s="9" t="n">
        <f aca="false">SUMPRODUCT(--(I23:W23&lt;&gt;""),--(I23:W23&lt;&gt;"NA"),I$3:W$3)</f>
        <v>60</v>
      </c>
      <c r="AB23" s="9" t="n">
        <f aca="false">SUMPRODUCT((I23:W23="A")*Settings!$B$4+(I23:W23="B")*Settings!$B$5+(I23:W23="C")*Settings!$B$6+(I23:W23="D")*Settings!$B$7+(I23:W23="E")*Settings!$B$8,I$3:W$3)</f>
        <v>42.5</v>
      </c>
      <c r="AC23" s="9" t="n">
        <f aca="false">IF(D23="","",IF(D23&gt;=Settings!$B$39,1,IF(D23&gt;=Settings!$B$40,2,IF(D23&gt;=Settings!$B$41,3,4))))</f>
        <v>3</v>
      </c>
      <c r="AD23" s="9" t="n">
        <f aca="false">IF(AC23="","",IF(H23="",IF(C23="Memecoin",MAX(AC23,3),AC23),IF(H23&gt;=4,MAX(AC23,H23),IF(C23="Memecoin",MAX(AC23,3),MAX(AC23,MIN(H23,AC23+1))))))</f>
        <v>3</v>
      </c>
      <c r="AE23" s="16" t="str">
        <f aca="false">IF(C23="","",IF(SUMPRODUCT((INDEX(Settings!$B$31:$P$34,MATCH(C23,Settings!$A$31:$A$34,0),0)=1)*(I23:W23&lt;&gt;"NA"))&gt;0,"Group NA missing","OK"))</f>
        <v>OK</v>
      </c>
    </row>
    <row r="24" customFormat="false" ht="15" hidden="false" customHeight="true" outlineLevel="0" collapsed="false">
      <c r="A24" s="8" t="s">
        <v>114</v>
      </c>
      <c r="B24" s="9" t="s">
        <v>115</v>
      </c>
      <c r="C24" s="10" t="s">
        <v>48</v>
      </c>
      <c r="D24" s="11" t="n">
        <f aca="false">IF(AA24=0,"",ROUND(AB24/AA24*100,1))</f>
        <v>86.8</v>
      </c>
      <c r="E24" s="12" t="n">
        <f aca="false">IF(D24="","",ROUND(D24/10,1))</f>
        <v>8.7</v>
      </c>
      <c r="F24" s="13" t="n">
        <f aca="false">IF(Z24=0,0,AA24/Z24)</f>
        <v>0.944444444444444</v>
      </c>
      <c r="G24" s="14" t="str">
        <f aca="false">IF(D24="","",IF(F24&lt;Settings!$B$42,"Not rated (low coverage)",CHOOSE(AD24,"Exceptional","Strong","Average/Decent","Weak")))</f>
        <v>Strong</v>
      </c>
      <c r="H24" s="15"/>
      <c r="I24" s="15" t="s">
        <v>49</v>
      </c>
      <c r="J24" s="15" t="s">
        <v>49</v>
      </c>
      <c r="K24" s="15" t="s">
        <v>49</v>
      </c>
      <c r="L24" s="15" t="s">
        <v>50</v>
      </c>
      <c r="M24" s="15" t="s">
        <v>49</v>
      </c>
      <c r="N24" s="15" t="s">
        <v>51</v>
      </c>
      <c r="O24" s="15" t="s">
        <v>52</v>
      </c>
      <c r="P24" s="15" t="s">
        <v>51</v>
      </c>
      <c r="Q24" s="15" t="s">
        <v>49</v>
      </c>
      <c r="R24" s="15" t="s">
        <v>49</v>
      </c>
      <c r="S24" s="15" t="s">
        <v>49</v>
      </c>
      <c r="T24" s="15" t="s">
        <v>50</v>
      </c>
      <c r="U24" s="15"/>
      <c r="V24" s="15" t="s">
        <v>51</v>
      </c>
      <c r="W24" s="15" t="s">
        <v>49</v>
      </c>
      <c r="X24" s="15" t="s">
        <v>53</v>
      </c>
      <c r="Y24" s="10" t="s">
        <v>116</v>
      </c>
      <c r="Z24" s="9" t="n">
        <f aca="false">SUMPRODUCT(--(I24:W24&lt;&gt;"NA"),I$3:W$3)</f>
        <v>90</v>
      </c>
      <c r="AA24" s="9" t="n">
        <f aca="false">SUMPRODUCT(--(I24:W24&lt;&gt;""),--(I24:W24&lt;&gt;"NA"),I$3:W$3)</f>
        <v>85</v>
      </c>
      <c r="AB24" s="9" t="n">
        <f aca="false">SUMPRODUCT((I24:W24="A")*Settings!$B$4+(I24:W24="B")*Settings!$B$5+(I24:W24="C")*Settings!$B$6+(I24:W24="D")*Settings!$B$7+(I24:W24="E")*Settings!$B$8,I$3:W$3)</f>
        <v>73.75</v>
      </c>
      <c r="AC24" s="9" t="n">
        <f aca="false">IF(D24="","",IF(D24&gt;=Settings!$B$39,1,IF(D24&gt;=Settings!$B$40,2,IF(D24&gt;=Settings!$B$41,3,4))))</f>
        <v>2</v>
      </c>
      <c r="AD24" s="9" t="n">
        <f aca="false">IF(AC24="","",IF(H24="",IF(C24="Memecoin",MAX(AC24,3),AC24),IF(H24&gt;=4,MAX(AC24,H24),IF(C24="Memecoin",MAX(AC24,3),MAX(AC24,MIN(H24,AC24+1))))))</f>
        <v>2</v>
      </c>
      <c r="AE24" s="16" t="str">
        <f aca="false">IF(C24="","",IF(SUMPRODUCT((INDEX(Settings!$B$31:$P$34,MATCH(C24,Settings!$A$31:$A$34,0),0)=1)*(I24:W24&lt;&gt;"NA"))&gt;0,"Group NA missing","OK"))</f>
        <v>OK</v>
      </c>
    </row>
    <row r="25" customFormat="false" ht="15" hidden="false" customHeight="true" outlineLevel="0" collapsed="false">
      <c r="A25" s="8" t="s">
        <v>117</v>
      </c>
      <c r="B25" s="9" t="s">
        <v>118</v>
      </c>
      <c r="C25" s="10" t="s">
        <v>57</v>
      </c>
      <c r="D25" s="11" t="n">
        <f aca="false">IF(AA25=0,"",ROUND(AB25/AA25*100,1))</f>
        <v>60.9</v>
      </c>
      <c r="E25" s="12" t="n">
        <f aca="false">IF(D25="","",ROUND(D25/10,1))</f>
        <v>6.1</v>
      </c>
      <c r="F25" s="13" t="n">
        <f aca="false">IF(Z25=0,0,AA25/Z25)</f>
        <v>0.842105263157895</v>
      </c>
      <c r="G25" s="14" t="str">
        <f aca="false">IF(D25="","",IF(F25&lt;Settings!$B$42,"Not rated (low coverage)",CHOOSE(AD25,"Exceptional","Strong","Average/Decent","Weak")))</f>
        <v>Average/Decent</v>
      </c>
      <c r="H25" s="15"/>
      <c r="I25" s="15" t="s">
        <v>58</v>
      </c>
      <c r="J25" s="15" t="s">
        <v>72</v>
      </c>
      <c r="K25" s="15" t="s">
        <v>51</v>
      </c>
      <c r="L25" s="15" t="s">
        <v>49</v>
      </c>
      <c r="M25" s="15" t="s">
        <v>49</v>
      </c>
      <c r="N25" s="15" t="s">
        <v>72</v>
      </c>
      <c r="O25" s="15" t="s">
        <v>52</v>
      </c>
      <c r="P25" s="15" t="s">
        <v>51</v>
      </c>
      <c r="Q25" s="15"/>
      <c r="R25" s="15"/>
      <c r="S25" s="15" t="s">
        <v>49</v>
      </c>
      <c r="T25" s="15" t="s">
        <v>50</v>
      </c>
      <c r="U25" s="15" t="s">
        <v>49</v>
      </c>
      <c r="V25" s="15" t="s">
        <v>52</v>
      </c>
      <c r="W25" s="15" t="s">
        <v>52</v>
      </c>
      <c r="X25" s="15" t="s">
        <v>53</v>
      </c>
      <c r="Y25" s="10" t="s">
        <v>119</v>
      </c>
      <c r="Z25" s="9" t="n">
        <f aca="false">SUMPRODUCT(--(I25:W25&lt;&gt;"NA"),I$3:W$3)</f>
        <v>95</v>
      </c>
      <c r="AA25" s="9" t="n">
        <f aca="false">SUMPRODUCT(--(I25:W25&lt;&gt;""),--(I25:W25&lt;&gt;"NA"),I$3:W$3)</f>
        <v>80</v>
      </c>
      <c r="AB25" s="9" t="n">
        <f aca="false">SUMPRODUCT((I25:W25="A")*Settings!$B$4+(I25:W25="B")*Settings!$B$5+(I25:W25="C")*Settings!$B$6+(I25:W25="D")*Settings!$B$7+(I25:W25="E")*Settings!$B$8,I$3:W$3)</f>
        <v>48.75</v>
      </c>
      <c r="AC25" s="9" t="n">
        <f aca="false">IF(D25="","",IF(D25&gt;=Settings!$B$39,1,IF(D25&gt;=Settings!$B$40,2,IF(D25&gt;=Settings!$B$41,3,4))))</f>
        <v>3</v>
      </c>
      <c r="AD25" s="9" t="n">
        <f aca="false">IF(AC25="","",IF(H25="",IF(C25="Memecoin",MAX(AC25,3),AC25),IF(H25&gt;=4,MAX(AC25,H25),IF(C25="Memecoin",MAX(AC25,3),MAX(AC25,MIN(H25,AC25+1))))))</f>
        <v>3</v>
      </c>
      <c r="AE25" s="16" t="str">
        <f aca="false">IF(C25="","",IF(SUMPRODUCT((INDEX(Settings!$B$31:$P$34,MATCH(C25,Settings!$A$31:$A$34,0),0)=1)*(I25:W25&lt;&gt;"NA"))&gt;0,"Group NA missing","OK"))</f>
        <v>OK</v>
      </c>
    </row>
    <row r="26" customFormat="false" ht="15" hidden="false" customHeight="true" outlineLevel="0" collapsed="false">
      <c r="A26" s="8" t="s">
        <v>120</v>
      </c>
      <c r="B26" s="9" t="s">
        <v>121</v>
      </c>
      <c r="C26" s="10" t="s">
        <v>57</v>
      </c>
      <c r="D26" s="11" t="n">
        <f aca="false">IF(AA26=0,"",ROUND(AB26/AA26*100,1))</f>
        <v>76.7</v>
      </c>
      <c r="E26" s="12" t="n">
        <f aca="false">IF(D26="","",ROUND(D26/10,1))</f>
        <v>7.7</v>
      </c>
      <c r="F26" s="13" t="n">
        <f aca="false">IF(Z26=0,0,AA26/Z26)</f>
        <v>0.75</v>
      </c>
      <c r="G26" s="14" t="str">
        <f aca="false">IF(D26="","",IF(F26&lt;Settings!$B$42,"Not rated (low coverage)",CHOOSE(AD26,"Exceptional","Strong","Average/Decent","Weak")))</f>
        <v>Strong</v>
      </c>
      <c r="H26" s="15"/>
      <c r="I26" s="15" t="s">
        <v>49</v>
      </c>
      <c r="J26" s="15"/>
      <c r="K26" s="15"/>
      <c r="L26" s="15"/>
      <c r="M26" s="15" t="s">
        <v>49</v>
      </c>
      <c r="N26" s="15"/>
      <c r="O26" s="15" t="s">
        <v>58</v>
      </c>
      <c r="P26" s="15" t="s">
        <v>52</v>
      </c>
      <c r="Q26" s="15" t="s">
        <v>51</v>
      </c>
      <c r="R26" s="15" t="s">
        <v>58</v>
      </c>
      <c r="S26" s="15" t="s">
        <v>49</v>
      </c>
      <c r="T26" s="15" t="s">
        <v>52</v>
      </c>
      <c r="U26" s="15" t="s">
        <v>49</v>
      </c>
      <c r="V26" s="15" t="s">
        <v>51</v>
      </c>
      <c r="W26" s="15" t="s">
        <v>49</v>
      </c>
      <c r="X26" s="15" t="s">
        <v>53</v>
      </c>
      <c r="Y26" s="10" t="s">
        <v>122</v>
      </c>
      <c r="Z26" s="9" t="n">
        <f aca="false">SUMPRODUCT(--(I26:W26&lt;&gt;"NA"),I$3:W$3)</f>
        <v>100</v>
      </c>
      <c r="AA26" s="9" t="n">
        <f aca="false">SUMPRODUCT(--(I26:W26&lt;&gt;""),--(I26:W26&lt;&gt;"NA"),I$3:W$3)</f>
        <v>75</v>
      </c>
      <c r="AB26" s="9" t="n">
        <f aca="false">SUMPRODUCT((I26:W26="A")*Settings!$B$4+(I26:W26="B")*Settings!$B$5+(I26:W26="C")*Settings!$B$6+(I26:W26="D")*Settings!$B$7+(I26:W26="E")*Settings!$B$8,I$3:W$3)</f>
        <v>57.5</v>
      </c>
      <c r="AC26" s="9" t="n">
        <f aca="false">IF(D26="","",IF(D26&gt;=Settings!$B$39,1,IF(D26&gt;=Settings!$B$40,2,IF(D26&gt;=Settings!$B$41,3,4))))</f>
        <v>2</v>
      </c>
      <c r="AD26" s="9" t="n">
        <f aca="false">IF(AC26="","",IF(H26="",IF(C26="Memecoin",MAX(AC26,3),AC26),IF(H26&gt;=4,MAX(AC26,H26),IF(C26="Memecoin",MAX(AC26,3),MAX(AC26,MIN(H26,AC26+1))))))</f>
        <v>2</v>
      </c>
      <c r="AE26" s="16" t="str">
        <f aca="false">IF(C26="","",IF(SUMPRODUCT((INDEX(Settings!$B$31:$P$34,MATCH(C26,Settings!$A$31:$A$34,0),0)=1)*(I26:W26&lt;&gt;"NA"))&gt;0,"Group NA missing","OK"))</f>
        <v>OK</v>
      </c>
    </row>
    <row r="27" customFormat="false" ht="15" hidden="false" customHeight="true" outlineLevel="0" collapsed="false">
      <c r="A27" s="8" t="s">
        <v>123</v>
      </c>
      <c r="B27" s="9" t="s">
        <v>124</v>
      </c>
      <c r="C27" s="10" t="s">
        <v>57</v>
      </c>
      <c r="D27" s="11" t="n">
        <f aca="false">IF(AA27=0,"",ROUND(AB27/AA27*100,1))</f>
        <v>58.8</v>
      </c>
      <c r="E27" s="12" t="n">
        <f aca="false">IF(D27="","",ROUND(D27/10,1))</f>
        <v>5.9</v>
      </c>
      <c r="F27" s="13" t="n">
        <f aca="false">IF(Z27=0,0,AA27/Z27)</f>
        <v>0.85</v>
      </c>
      <c r="G27" s="14" t="str">
        <f aca="false">IF(D27="","",IF(F27&lt;Settings!$B$42,"Not rated (low coverage)",CHOOSE(AD27,"Exceptional","Strong","Average/Decent","Weak")))</f>
        <v>Weak</v>
      </c>
      <c r="H27" s="15"/>
      <c r="I27" s="15" t="s">
        <v>51</v>
      </c>
      <c r="J27" s="15" t="s">
        <v>49</v>
      </c>
      <c r="K27" s="15" t="s">
        <v>58</v>
      </c>
      <c r="L27" s="15"/>
      <c r="M27" s="15" t="s">
        <v>58</v>
      </c>
      <c r="N27" s="15" t="s">
        <v>58</v>
      </c>
      <c r="O27" s="15" t="s">
        <v>58</v>
      </c>
      <c r="P27" s="15" t="s">
        <v>49</v>
      </c>
      <c r="Q27" s="15" t="s">
        <v>52</v>
      </c>
      <c r="R27" s="15"/>
      <c r="S27" s="15" t="s">
        <v>49</v>
      </c>
      <c r="T27" s="15" t="s">
        <v>49</v>
      </c>
      <c r="U27" s="15"/>
      <c r="V27" s="15" t="s">
        <v>58</v>
      </c>
      <c r="W27" s="15" t="s">
        <v>52</v>
      </c>
      <c r="X27" s="15" t="s">
        <v>53</v>
      </c>
      <c r="Y27" s="10" t="s">
        <v>125</v>
      </c>
      <c r="Z27" s="9" t="n">
        <f aca="false">SUMPRODUCT(--(I27:W27&lt;&gt;"NA"),I$3:W$3)</f>
        <v>100</v>
      </c>
      <c r="AA27" s="9" t="n">
        <f aca="false">SUMPRODUCT(--(I27:W27&lt;&gt;""),--(I27:W27&lt;&gt;"NA"),I$3:W$3)</f>
        <v>85</v>
      </c>
      <c r="AB27" s="9" t="n">
        <f aca="false">SUMPRODUCT((I27:W27="A")*Settings!$B$4+(I27:W27="B")*Settings!$B$5+(I27:W27="C")*Settings!$B$6+(I27:W27="D")*Settings!$B$7+(I27:W27="E")*Settings!$B$8,I$3:W$3)</f>
        <v>50</v>
      </c>
      <c r="AC27" s="9" t="n">
        <f aca="false">IF(D27="","",IF(D27&gt;=Settings!$B$39,1,IF(D27&gt;=Settings!$B$40,2,IF(D27&gt;=Settings!$B$41,3,4))))</f>
        <v>4</v>
      </c>
      <c r="AD27" s="9" t="n">
        <f aca="false">IF(AC27="","",IF(H27="",IF(C27="Memecoin",MAX(AC27,3),AC27),IF(H27&gt;=4,MAX(AC27,H27),IF(C27="Memecoin",MAX(AC27,3),MAX(AC27,MIN(H27,AC27+1))))))</f>
        <v>4</v>
      </c>
      <c r="AE27" s="16" t="str">
        <f aca="false">IF(C27="","",IF(SUMPRODUCT((INDEX(Settings!$B$31:$P$34,MATCH(C27,Settings!$A$31:$A$34,0),0)=1)*(I27:W27&lt;&gt;"NA"))&gt;0,"Group NA missing","OK"))</f>
        <v>OK</v>
      </c>
    </row>
    <row r="28" customFormat="false" ht="15" hidden="false" customHeight="true" outlineLevel="0" collapsed="false">
      <c r="A28" s="8" t="s">
        <v>126</v>
      </c>
      <c r="B28" s="9" t="s">
        <v>127</v>
      </c>
      <c r="C28" s="10" t="s">
        <v>109</v>
      </c>
      <c r="D28" s="11" t="n">
        <f aca="false">IF(AA28=0,"",ROUND(AB28/AA28*100,1))</f>
        <v>75</v>
      </c>
      <c r="E28" s="12" t="n">
        <f aca="false">IF(D28="","",ROUND(D28/10,1))</f>
        <v>7.5</v>
      </c>
      <c r="F28" s="13" t="n">
        <f aca="false">IF(Z28=0,0,AA28/Z28)</f>
        <v>0.769230769230769</v>
      </c>
      <c r="G28" s="14" t="str">
        <f aca="false">IF(D28="","",IF(F28&lt;Settings!$B$42,"Not rated (low coverage)",CHOOSE(AD28,"Exceptional","Strong","Average/Decent","Weak")))</f>
        <v>Strong</v>
      </c>
      <c r="H28" s="15"/>
      <c r="I28" s="15" t="s">
        <v>50</v>
      </c>
      <c r="J28" s="15" t="s">
        <v>50</v>
      </c>
      <c r="K28" s="15" t="s">
        <v>50</v>
      </c>
      <c r="L28" s="15" t="s">
        <v>50</v>
      </c>
      <c r="M28" s="15" t="s">
        <v>49</v>
      </c>
      <c r="N28" s="15"/>
      <c r="O28" s="15" t="s">
        <v>51</v>
      </c>
      <c r="P28" s="15" t="s">
        <v>49</v>
      </c>
      <c r="Q28" s="15" t="s">
        <v>51</v>
      </c>
      <c r="R28" s="15" t="s">
        <v>51</v>
      </c>
      <c r="S28" s="15" t="s">
        <v>49</v>
      </c>
      <c r="T28" s="15" t="s">
        <v>50</v>
      </c>
      <c r="U28" s="15"/>
      <c r="V28" s="15" t="s">
        <v>51</v>
      </c>
      <c r="W28" s="15" t="s">
        <v>50</v>
      </c>
      <c r="X28" s="15" t="s">
        <v>53</v>
      </c>
      <c r="Y28" s="10" t="s">
        <v>128</v>
      </c>
      <c r="Z28" s="9" t="n">
        <f aca="false">SUMPRODUCT(--(I28:W28&lt;&gt;"NA"),I$3:W$3)</f>
        <v>65</v>
      </c>
      <c r="AA28" s="9" t="n">
        <f aca="false">SUMPRODUCT(--(I28:W28&lt;&gt;""),--(I28:W28&lt;&gt;"NA"),I$3:W$3)</f>
        <v>50</v>
      </c>
      <c r="AB28" s="9" t="n">
        <f aca="false">SUMPRODUCT((I28:W28="A")*Settings!$B$4+(I28:W28="B")*Settings!$B$5+(I28:W28="C")*Settings!$B$6+(I28:W28="D")*Settings!$B$7+(I28:W28="E")*Settings!$B$8,I$3:W$3)</f>
        <v>37.5</v>
      </c>
      <c r="AC28" s="9" t="n">
        <f aca="false">IF(D28="","",IF(D28&gt;=Settings!$B$39,1,IF(D28&gt;=Settings!$B$40,2,IF(D28&gt;=Settings!$B$41,3,4))))</f>
        <v>2</v>
      </c>
      <c r="AD28" s="9" t="n">
        <f aca="false">IF(AC28="","",IF(H28="",IF(C28="Memecoin",MAX(AC28,3),AC28),IF(H28&gt;=4,MAX(AC28,H28),IF(C28="Memecoin",MAX(AC28,3),MAX(AC28,MIN(H28,AC28+1))))))</f>
        <v>2</v>
      </c>
      <c r="AE28" s="16" t="str">
        <f aca="false">IF(C28="","",IF(SUMPRODUCT((INDEX(Settings!$B$31:$P$34,MATCH(C28,Settings!$A$31:$A$34,0),0)=1)*(I28:W28&lt;&gt;"NA"))&gt;0,"Group NA missing","OK"))</f>
        <v>OK</v>
      </c>
    </row>
    <row r="29" customFormat="false" ht="15" hidden="false" customHeight="true" outlineLevel="0" collapsed="false">
      <c r="A29" s="8" t="s">
        <v>129</v>
      </c>
      <c r="B29" s="9" t="s">
        <v>130</v>
      </c>
      <c r="C29" s="10" t="s">
        <v>57</v>
      </c>
      <c r="D29" s="11" t="n">
        <f aca="false">IF(AA29=0,"",ROUND(AB29/AA29*100,1))</f>
        <v>46.4</v>
      </c>
      <c r="E29" s="12" t="n">
        <f aca="false">IF(D29="","",ROUND(D29/10,1))</f>
        <v>4.6</v>
      </c>
      <c r="F29" s="13" t="n">
        <f aca="false">IF(Z29=0,0,AA29/Z29)</f>
        <v>0.7</v>
      </c>
      <c r="G29" s="14" t="str">
        <f aca="false">IF(D29="","",IF(F29&lt;Settings!$B$42,"Not rated (low coverage)",CHOOSE(AD29,"Exceptional","Strong","Average/Decent","Weak")))</f>
        <v>Weak</v>
      </c>
      <c r="H29" s="15"/>
      <c r="I29" s="15" t="s">
        <v>51</v>
      </c>
      <c r="J29" s="15" t="s">
        <v>72</v>
      </c>
      <c r="K29" s="15" t="s">
        <v>72</v>
      </c>
      <c r="L29" s="15"/>
      <c r="M29" s="15" t="s">
        <v>58</v>
      </c>
      <c r="N29" s="15"/>
      <c r="O29" s="15" t="s">
        <v>51</v>
      </c>
      <c r="P29" s="15" t="s">
        <v>49</v>
      </c>
      <c r="Q29" s="15" t="s">
        <v>51</v>
      </c>
      <c r="R29" s="15"/>
      <c r="S29" s="15"/>
      <c r="T29" s="15" t="s">
        <v>51</v>
      </c>
      <c r="U29" s="15" t="s">
        <v>49</v>
      </c>
      <c r="V29" s="15" t="s">
        <v>72</v>
      </c>
      <c r="W29" s="15" t="s">
        <v>49</v>
      </c>
      <c r="X29" s="15" t="s">
        <v>53</v>
      </c>
      <c r="Y29" s="10" t="s">
        <v>131</v>
      </c>
      <c r="Z29" s="9" t="n">
        <f aca="false">SUMPRODUCT(--(I29:W29&lt;&gt;"NA"),I$3:W$3)</f>
        <v>100</v>
      </c>
      <c r="AA29" s="9" t="n">
        <f aca="false">SUMPRODUCT(--(I29:W29&lt;&gt;""),--(I29:W29&lt;&gt;"NA"),I$3:W$3)</f>
        <v>70</v>
      </c>
      <c r="AB29" s="9" t="n">
        <f aca="false">SUMPRODUCT((I29:W29="A")*Settings!$B$4+(I29:W29="B")*Settings!$B$5+(I29:W29="C")*Settings!$B$6+(I29:W29="D")*Settings!$B$7+(I29:W29="E")*Settings!$B$8,I$3:W$3)</f>
        <v>32.5</v>
      </c>
      <c r="AC29" s="9" t="n">
        <f aca="false">IF(D29="","",IF(D29&gt;=Settings!$B$39,1,IF(D29&gt;=Settings!$B$40,2,IF(D29&gt;=Settings!$B$41,3,4))))</f>
        <v>4</v>
      </c>
      <c r="AD29" s="9" t="n">
        <f aca="false">IF(AC29="","",IF(H29="",IF(C29="Memecoin",MAX(AC29,3),AC29),IF(H29&gt;=4,MAX(AC29,H29),IF(C29="Memecoin",MAX(AC29,3),MAX(AC29,MIN(H29,AC29+1))))))</f>
        <v>4</v>
      </c>
      <c r="AE29" s="16" t="str">
        <f aca="false">IF(C29="","",IF(SUMPRODUCT((INDEX(Settings!$B$31:$P$34,MATCH(C29,Settings!$A$31:$A$34,0),0)=1)*(I29:W29&lt;&gt;"NA"))&gt;0,"Group NA missing","OK"))</f>
        <v>OK</v>
      </c>
    </row>
    <row r="30" customFormat="false" ht="15" hidden="false" customHeight="true" outlineLevel="0" collapsed="false">
      <c r="A30" s="8" t="s">
        <v>132</v>
      </c>
      <c r="B30" s="9" t="s">
        <v>133</v>
      </c>
      <c r="C30" s="10" t="s">
        <v>57</v>
      </c>
      <c r="D30" s="11" t="n">
        <f aca="false">IF(AA30=0,"",ROUND(AB30/AA30*100,1))</f>
        <v>71.4</v>
      </c>
      <c r="E30" s="12" t="n">
        <f aca="false">IF(D30="","",ROUND(D30/10,1))</f>
        <v>7.1</v>
      </c>
      <c r="F30" s="13" t="n">
        <f aca="false">IF(Z30=0,0,AA30/Z30)</f>
        <v>0.7</v>
      </c>
      <c r="G30" s="14" t="str">
        <f aca="false">IF(D30="","",IF(F30&lt;Settings!$B$42,"Not rated (low coverage)",CHOOSE(AD30,"Exceptional","Strong","Average/Decent","Weak")))</f>
        <v>Average/Decent</v>
      </c>
      <c r="H30" s="15" t="n">
        <v>3</v>
      </c>
      <c r="I30" s="15" t="s">
        <v>49</v>
      </c>
      <c r="J30" s="15" t="s">
        <v>49</v>
      </c>
      <c r="K30" s="15" t="s">
        <v>51</v>
      </c>
      <c r="L30" s="15"/>
      <c r="M30" s="15" t="s">
        <v>49</v>
      </c>
      <c r="N30" s="15"/>
      <c r="O30" s="15" t="s">
        <v>52</v>
      </c>
      <c r="P30" s="15" t="s">
        <v>51</v>
      </c>
      <c r="Q30" s="15" t="s">
        <v>51</v>
      </c>
      <c r="R30" s="15" t="s">
        <v>58</v>
      </c>
      <c r="S30" s="15"/>
      <c r="T30" s="15" t="s">
        <v>52</v>
      </c>
      <c r="U30" s="15"/>
      <c r="V30" s="15" t="s">
        <v>58</v>
      </c>
      <c r="W30" s="15" t="s">
        <v>49</v>
      </c>
      <c r="X30" s="15" t="s">
        <v>53</v>
      </c>
      <c r="Y30" s="10" t="s">
        <v>134</v>
      </c>
      <c r="Z30" s="9" t="n">
        <f aca="false">SUMPRODUCT(--(I30:W30&lt;&gt;"NA"),I$3:W$3)</f>
        <v>100</v>
      </c>
      <c r="AA30" s="9" t="n">
        <f aca="false">SUMPRODUCT(--(I30:W30&lt;&gt;""),--(I30:W30&lt;&gt;"NA"),I$3:W$3)</f>
        <v>70</v>
      </c>
      <c r="AB30" s="9" t="n">
        <f aca="false">SUMPRODUCT((I30:W30="A")*Settings!$B$4+(I30:W30="B")*Settings!$B$5+(I30:W30="C")*Settings!$B$6+(I30:W30="D")*Settings!$B$7+(I30:W30="E")*Settings!$B$8,I$3:W$3)</f>
        <v>50</v>
      </c>
      <c r="AC30" s="9" t="n">
        <f aca="false">IF(D30="","",IF(D30&gt;=Settings!$B$39,1,IF(D30&gt;=Settings!$B$40,2,IF(D30&gt;=Settings!$B$41,3,4))))</f>
        <v>3</v>
      </c>
      <c r="AD30" s="9" t="n">
        <f aca="false">IF(AC30="","",IF(H30="",IF(C30="Memecoin",MAX(AC30,3),AC30),IF(H30&gt;=4,MAX(AC30,H30),IF(C30="Memecoin",MAX(AC30,3),MAX(AC30,MIN(H30,AC30+1))))))</f>
        <v>3</v>
      </c>
      <c r="AE30" s="16" t="str">
        <f aca="false">IF(C30="","",IF(SUMPRODUCT((INDEX(Settings!$B$31:$P$34,MATCH(C30,Settings!$A$31:$A$34,0),0)=1)*(I30:W30&lt;&gt;"NA"))&gt;0,"Group NA missing","OK"))</f>
        <v>OK</v>
      </c>
    </row>
    <row r="31" customFormat="false" ht="15" hidden="false" customHeight="true" outlineLevel="0" collapsed="false">
      <c r="A31" s="8" t="s">
        <v>135</v>
      </c>
      <c r="B31" s="9" t="s">
        <v>136</v>
      </c>
      <c r="C31" s="10" t="s">
        <v>57</v>
      </c>
      <c r="D31" s="11" t="n">
        <f aca="false">IF(AA31=0,"",ROUND(AB31/AA31*100,1))</f>
        <v>55.9</v>
      </c>
      <c r="E31" s="12" t="n">
        <f aca="false">IF(D31="","",ROUND(D31/10,1))</f>
        <v>5.6</v>
      </c>
      <c r="F31" s="13" t="n">
        <f aca="false">IF(Z31=0,0,AA31/Z31)</f>
        <v>0.894736842105263</v>
      </c>
      <c r="G31" s="14" t="str">
        <f aca="false">IF(D31="","",IF(F31&lt;Settings!$B$42,"Not rated (low coverage)",CHOOSE(AD31,"Exceptional","Strong","Average/Decent","Weak")))</f>
        <v>Weak</v>
      </c>
      <c r="H31" s="15"/>
      <c r="I31" s="15" t="s">
        <v>51</v>
      </c>
      <c r="J31" s="15" t="s">
        <v>49</v>
      </c>
      <c r="K31" s="15"/>
      <c r="L31" s="15" t="s">
        <v>51</v>
      </c>
      <c r="M31" s="15" t="s">
        <v>51</v>
      </c>
      <c r="N31" s="15" t="s">
        <v>72</v>
      </c>
      <c r="O31" s="15" t="s">
        <v>52</v>
      </c>
      <c r="P31" s="15" t="s">
        <v>51</v>
      </c>
      <c r="Q31" s="15" t="s">
        <v>51</v>
      </c>
      <c r="R31" s="15" t="s">
        <v>51</v>
      </c>
      <c r="S31" s="15" t="s">
        <v>49</v>
      </c>
      <c r="T31" s="15" t="s">
        <v>50</v>
      </c>
      <c r="U31" s="15"/>
      <c r="V31" s="15" t="s">
        <v>58</v>
      </c>
      <c r="W31" s="15" t="s">
        <v>49</v>
      </c>
      <c r="X31" s="15" t="s">
        <v>53</v>
      </c>
      <c r="Y31" s="10" t="s">
        <v>137</v>
      </c>
      <c r="Z31" s="9" t="n">
        <f aca="false">SUMPRODUCT(--(I31:W31&lt;&gt;"NA"),I$3:W$3)</f>
        <v>95</v>
      </c>
      <c r="AA31" s="9" t="n">
        <f aca="false">SUMPRODUCT(--(I31:W31&lt;&gt;""),--(I31:W31&lt;&gt;"NA"),I$3:W$3)</f>
        <v>85</v>
      </c>
      <c r="AB31" s="9" t="n">
        <f aca="false">SUMPRODUCT((I31:W31="A")*Settings!$B$4+(I31:W31="B")*Settings!$B$5+(I31:W31="C")*Settings!$B$6+(I31:W31="D")*Settings!$B$7+(I31:W31="E")*Settings!$B$8,I$3:W$3)</f>
        <v>47.5</v>
      </c>
      <c r="AC31" s="9" t="n">
        <f aca="false">IF(D31="","",IF(D31&gt;=Settings!$B$39,1,IF(D31&gt;=Settings!$B$40,2,IF(D31&gt;=Settings!$B$41,3,4))))</f>
        <v>4</v>
      </c>
      <c r="AD31" s="9" t="n">
        <f aca="false">IF(AC31="","",IF(H31="",IF(C31="Memecoin",MAX(AC31,3),AC31),IF(H31&gt;=4,MAX(AC31,H31),IF(C31="Memecoin",MAX(AC31,3),MAX(AC31,MIN(H31,AC31+1))))))</f>
        <v>4</v>
      </c>
      <c r="AE31" s="16" t="str">
        <f aca="false">IF(C31="","",IF(SUMPRODUCT((INDEX(Settings!$B$31:$P$34,MATCH(C31,Settings!$A$31:$A$34,0),0)=1)*(I31:W31&lt;&gt;"NA"))&gt;0,"Group NA missing","OK"))</f>
        <v>OK</v>
      </c>
    </row>
    <row r="32" customFormat="false" ht="15" hidden="false" customHeight="true" outlineLevel="0" collapsed="false">
      <c r="A32" s="8" t="s">
        <v>138</v>
      </c>
      <c r="B32" s="9" t="s">
        <v>139</v>
      </c>
      <c r="C32" s="10" t="s">
        <v>57</v>
      </c>
      <c r="D32" s="11" t="n">
        <f aca="false">IF(AA32=0,"",ROUND(AB32/AA32*100,1))</f>
        <v>70</v>
      </c>
      <c r="E32" s="12" t="n">
        <f aca="false">IF(D32="","",ROUND(D32/10,1))</f>
        <v>7</v>
      </c>
      <c r="F32" s="13" t="n">
        <f aca="false">IF(Z32=0,0,AA32/Z32)</f>
        <v>0.789473684210526</v>
      </c>
      <c r="G32" s="14" t="str">
        <f aca="false">IF(D32="","",IF(F32&lt;Settings!$B$42,"Not rated (low coverage)",CHOOSE(AD32,"Exceptional","Strong","Average/Decent","Weak")))</f>
        <v>Average/Decent</v>
      </c>
      <c r="H32" s="15" t="n">
        <v>3</v>
      </c>
      <c r="I32" s="15" t="s">
        <v>52</v>
      </c>
      <c r="J32" s="15" t="s">
        <v>49</v>
      </c>
      <c r="K32" s="15" t="s">
        <v>51</v>
      </c>
      <c r="L32" s="15" t="s">
        <v>72</v>
      </c>
      <c r="M32" s="15" t="s">
        <v>49</v>
      </c>
      <c r="N32" s="15"/>
      <c r="O32" s="15" t="s">
        <v>52</v>
      </c>
      <c r="P32" s="15" t="s">
        <v>51</v>
      </c>
      <c r="Q32" s="15" t="s">
        <v>51</v>
      </c>
      <c r="R32" s="15"/>
      <c r="S32" s="15" t="s">
        <v>49</v>
      </c>
      <c r="T32" s="15" t="s">
        <v>50</v>
      </c>
      <c r="U32" s="15"/>
      <c r="V32" s="15" t="s">
        <v>58</v>
      </c>
      <c r="W32" s="15" t="s">
        <v>49</v>
      </c>
      <c r="X32" s="15" t="s">
        <v>53</v>
      </c>
      <c r="Y32" s="10" t="s">
        <v>140</v>
      </c>
      <c r="Z32" s="9" t="n">
        <f aca="false">SUMPRODUCT(--(I32:W32&lt;&gt;"NA"),I$3:W$3)</f>
        <v>95</v>
      </c>
      <c r="AA32" s="9" t="n">
        <f aca="false">SUMPRODUCT(--(I32:W32&lt;&gt;""),--(I32:W32&lt;&gt;"NA"),I$3:W$3)</f>
        <v>75</v>
      </c>
      <c r="AB32" s="9" t="n">
        <f aca="false">SUMPRODUCT((I32:W32="A")*Settings!$B$4+(I32:W32="B")*Settings!$B$5+(I32:W32="C")*Settings!$B$6+(I32:W32="D")*Settings!$B$7+(I32:W32="E")*Settings!$B$8,I$3:W$3)</f>
        <v>52.5</v>
      </c>
      <c r="AC32" s="9" t="n">
        <f aca="false">IF(D32="","",IF(D32&gt;=Settings!$B$39,1,IF(D32&gt;=Settings!$B$40,2,IF(D32&gt;=Settings!$B$41,3,4))))</f>
        <v>3</v>
      </c>
      <c r="AD32" s="9" t="n">
        <f aca="false">IF(AC32="","",IF(H32="",IF(C32="Memecoin",MAX(AC32,3),AC32),IF(H32&gt;=4,MAX(AC32,H32),IF(C32="Memecoin",MAX(AC32,3),MAX(AC32,MIN(H32,AC32+1))))))</f>
        <v>3</v>
      </c>
      <c r="AE32" s="16" t="str">
        <f aca="false">IF(C32="","",IF(SUMPRODUCT((INDEX(Settings!$B$31:$P$34,MATCH(C32,Settings!$A$31:$A$34,0),0)=1)*(I32:W32&lt;&gt;"NA"))&gt;0,"Group NA missing","OK"))</f>
        <v>OK</v>
      </c>
    </row>
    <row r="33" customFormat="false" ht="15" hidden="false" customHeight="true" outlineLevel="0" collapsed="false">
      <c r="A33" s="8" t="s">
        <v>141</v>
      </c>
      <c r="B33" s="9" t="s">
        <v>142</v>
      </c>
      <c r="C33" s="10" t="s">
        <v>57</v>
      </c>
      <c r="D33" s="11" t="n">
        <f aca="false">IF(AA33=0,"",ROUND(AB33/AA33*100,1))</f>
        <v>51.7</v>
      </c>
      <c r="E33" s="12" t="n">
        <f aca="false">IF(D33="","",ROUND(D33/10,1))</f>
        <v>5.2</v>
      </c>
      <c r="F33" s="13" t="n">
        <f aca="false">IF(Z33=0,0,AA33/Z33)</f>
        <v>0.75</v>
      </c>
      <c r="G33" s="14" t="str">
        <f aca="false">IF(D33="","",IF(F33&lt;Settings!$B$42,"Not rated (low coverage)",CHOOSE(AD33,"Exceptional","Strong","Average/Decent","Weak")))</f>
        <v>Weak</v>
      </c>
      <c r="H33" s="15"/>
      <c r="I33" s="15" t="s">
        <v>51</v>
      </c>
      <c r="J33" s="15" t="s">
        <v>58</v>
      </c>
      <c r="K33" s="15"/>
      <c r="L33" s="15"/>
      <c r="M33" s="15" t="s">
        <v>72</v>
      </c>
      <c r="N33" s="15"/>
      <c r="O33" s="15" t="s">
        <v>58</v>
      </c>
      <c r="P33" s="15" t="s">
        <v>49</v>
      </c>
      <c r="Q33" s="15" t="s">
        <v>58</v>
      </c>
      <c r="R33" s="15"/>
      <c r="S33" s="15" t="s">
        <v>49</v>
      </c>
      <c r="T33" s="15" t="s">
        <v>52</v>
      </c>
      <c r="U33" s="15" t="s">
        <v>49</v>
      </c>
      <c r="V33" s="15" t="s">
        <v>72</v>
      </c>
      <c r="W33" s="15" t="s">
        <v>49</v>
      </c>
      <c r="X33" s="15" t="s">
        <v>53</v>
      </c>
      <c r="Y33" s="10" t="s">
        <v>143</v>
      </c>
      <c r="Z33" s="9" t="n">
        <f aca="false">SUMPRODUCT(--(I33:W33&lt;&gt;"NA"),I$3:W$3)</f>
        <v>100</v>
      </c>
      <c r="AA33" s="9" t="n">
        <f aca="false">SUMPRODUCT(--(I33:W33&lt;&gt;""),--(I33:W33&lt;&gt;"NA"),I$3:W$3)</f>
        <v>75</v>
      </c>
      <c r="AB33" s="9" t="n">
        <f aca="false">SUMPRODUCT((I33:W33="A")*Settings!$B$4+(I33:W33="B")*Settings!$B$5+(I33:W33="C")*Settings!$B$6+(I33:W33="D")*Settings!$B$7+(I33:W33="E")*Settings!$B$8,I$3:W$3)</f>
        <v>38.75</v>
      </c>
      <c r="AC33" s="9" t="n">
        <f aca="false">IF(D33="","",IF(D33&gt;=Settings!$B$39,1,IF(D33&gt;=Settings!$B$40,2,IF(D33&gt;=Settings!$B$41,3,4))))</f>
        <v>4</v>
      </c>
      <c r="AD33" s="9" t="n">
        <f aca="false">IF(AC33="","",IF(H33="",IF(C33="Memecoin",MAX(AC33,3),AC33),IF(H33&gt;=4,MAX(AC33,H33),IF(C33="Memecoin",MAX(AC33,3),MAX(AC33,MIN(H33,AC33+1))))))</f>
        <v>4</v>
      </c>
      <c r="AE33" s="16" t="str">
        <f aca="false">IF(C33="","",IF(SUMPRODUCT((INDEX(Settings!$B$31:$P$34,MATCH(C33,Settings!$A$31:$A$34,0),0)=1)*(I33:W33&lt;&gt;"NA"))&gt;0,"Group NA missing","OK"))</f>
        <v>OK</v>
      </c>
    </row>
    <row r="34" customFormat="false" ht="15" hidden="false" customHeight="true" outlineLevel="0" collapsed="false">
      <c r="A34" s="8" t="s">
        <v>144</v>
      </c>
      <c r="B34" s="9" t="s">
        <v>145</v>
      </c>
      <c r="C34" s="10" t="s">
        <v>102</v>
      </c>
      <c r="D34" s="11" t="n">
        <f aca="false">IF(AA34=0,"",ROUND(AB34/AA34*100,1))</f>
        <v>71.4</v>
      </c>
      <c r="E34" s="12" t="n">
        <f aca="false">IF(D34="","",ROUND(D34/10,1))</f>
        <v>7.1</v>
      </c>
      <c r="F34" s="13" t="n">
        <f aca="false">IF(Z34=0,0,AA34/Z34)</f>
        <v>0.777777777777778</v>
      </c>
      <c r="G34" s="14" t="str">
        <f aca="false">IF(D34="","",IF(F34&lt;Settings!$B$42,"Not rated (low coverage)",CHOOSE(AD34,"Exceptional","Strong","Average/Decent","Weak")))</f>
        <v>Average/Decent</v>
      </c>
      <c r="H34" s="15" t="n">
        <v>3</v>
      </c>
      <c r="I34" s="15" t="s">
        <v>49</v>
      </c>
      <c r="J34" s="15" t="s">
        <v>49</v>
      </c>
      <c r="K34" s="15" t="s">
        <v>49</v>
      </c>
      <c r="L34" s="15" t="s">
        <v>50</v>
      </c>
      <c r="M34" s="15" t="s">
        <v>49</v>
      </c>
      <c r="N34" s="15"/>
      <c r="O34" s="15" t="s">
        <v>51</v>
      </c>
      <c r="P34" s="15" t="s">
        <v>49</v>
      </c>
      <c r="Q34" s="15"/>
      <c r="R34" s="15" t="s">
        <v>49</v>
      </c>
      <c r="S34" s="15" t="s">
        <v>72</v>
      </c>
      <c r="T34" s="15" t="s">
        <v>50</v>
      </c>
      <c r="U34" s="15" t="s">
        <v>72</v>
      </c>
      <c r="V34" s="15" t="s">
        <v>51</v>
      </c>
      <c r="W34" s="15" t="s">
        <v>49</v>
      </c>
      <c r="X34" s="15" t="s">
        <v>53</v>
      </c>
      <c r="Y34" s="10" t="s">
        <v>146</v>
      </c>
      <c r="Z34" s="9" t="n">
        <f aca="false">SUMPRODUCT(--(I34:W34&lt;&gt;"NA"),I$3:W$3)</f>
        <v>90</v>
      </c>
      <c r="AA34" s="9" t="n">
        <f aca="false">SUMPRODUCT(--(I34:W34&lt;&gt;""),--(I34:W34&lt;&gt;"NA"),I$3:W$3)</f>
        <v>70</v>
      </c>
      <c r="AB34" s="9" t="n">
        <f aca="false">SUMPRODUCT((I34:W34="A")*Settings!$B$4+(I34:W34="B")*Settings!$B$5+(I34:W34="C")*Settings!$B$6+(I34:W34="D")*Settings!$B$7+(I34:W34="E")*Settings!$B$8,I$3:W$3)</f>
        <v>50</v>
      </c>
      <c r="AC34" s="9" t="n">
        <f aca="false">IF(D34="","",IF(D34&gt;=Settings!$B$39,1,IF(D34&gt;=Settings!$B$40,2,IF(D34&gt;=Settings!$B$41,3,4))))</f>
        <v>3</v>
      </c>
      <c r="AD34" s="9" t="n">
        <f aca="false">IF(AC34="","",IF(H34="",IF(C34="Memecoin",MAX(AC34,3),AC34),IF(H34&gt;=4,MAX(AC34,H34),IF(C34="Memecoin",MAX(AC34,3),MAX(AC34,MIN(H34,AC34+1))))))</f>
        <v>3</v>
      </c>
      <c r="AE34" s="16" t="str">
        <f aca="false">IF(C34="","",IF(SUMPRODUCT((INDEX(Settings!$B$31:$P$34,MATCH(C34,Settings!$A$31:$A$34,0),0)=1)*(I34:W34&lt;&gt;"NA"))&gt;0,"Group NA missing","OK"))</f>
        <v>OK</v>
      </c>
    </row>
    <row r="35" customFormat="false" ht="15" hidden="false" customHeight="true" outlineLevel="0" collapsed="false">
      <c r="A35" s="8" t="s">
        <v>147</v>
      </c>
      <c r="B35" s="9" t="s">
        <v>148</v>
      </c>
      <c r="C35" s="10" t="s">
        <v>57</v>
      </c>
      <c r="D35" s="11" t="n">
        <f aca="false">IF(AA35=0,"",ROUND(AB35/AA35*100,1))</f>
        <v>47.4</v>
      </c>
      <c r="E35" s="12" t="n">
        <f aca="false">IF(D35="","",ROUND(D35/10,1))</f>
        <v>4.7</v>
      </c>
      <c r="F35" s="13" t="n">
        <f aca="false">IF(Z35=0,0,AA35/Z35)</f>
        <v>0.95</v>
      </c>
      <c r="G35" s="14" t="str">
        <f aca="false">IF(D35="","",IF(F35&lt;Settings!$B$42,"Not rated (low coverage)",CHOOSE(AD35,"Exceptional","Strong","Average/Decent","Weak")))</f>
        <v>Weak</v>
      </c>
      <c r="H35" s="15" t="n">
        <v>3</v>
      </c>
      <c r="I35" s="15" t="s">
        <v>51</v>
      </c>
      <c r="J35" s="15" t="s">
        <v>58</v>
      </c>
      <c r="K35" s="15" t="s">
        <v>72</v>
      </c>
      <c r="L35" s="15"/>
      <c r="M35" s="15" t="s">
        <v>58</v>
      </c>
      <c r="N35" s="15" t="s">
        <v>72</v>
      </c>
      <c r="O35" s="15" t="s">
        <v>58</v>
      </c>
      <c r="P35" s="15" t="s">
        <v>58</v>
      </c>
      <c r="Q35" s="15" t="s">
        <v>52</v>
      </c>
      <c r="R35" s="15" t="s">
        <v>58</v>
      </c>
      <c r="S35" s="15" t="s">
        <v>49</v>
      </c>
      <c r="T35" s="15" t="s">
        <v>49</v>
      </c>
      <c r="U35" s="15" t="s">
        <v>49</v>
      </c>
      <c r="V35" s="15" t="s">
        <v>51</v>
      </c>
      <c r="W35" s="15" t="s">
        <v>51</v>
      </c>
      <c r="X35" s="15" t="s">
        <v>53</v>
      </c>
      <c r="Y35" s="10" t="s">
        <v>149</v>
      </c>
      <c r="Z35" s="9" t="n">
        <f aca="false">SUMPRODUCT(--(I35:W35&lt;&gt;"NA"),I$3:W$3)</f>
        <v>100</v>
      </c>
      <c r="AA35" s="9" t="n">
        <f aca="false">SUMPRODUCT(--(I35:W35&lt;&gt;""),--(I35:W35&lt;&gt;"NA"),I$3:W$3)</f>
        <v>95</v>
      </c>
      <c r="AB35" s="9" t="n">
        <f aca="false">SUMPRODUCT((I35:W35="A")*Settings!$B$4+(I35:W35="B")*Settings!$B$5+(I35:W35="C")*Settings!$B$6+(I35:W35="D")*Settings!$B$7+(I35:W35="E")*Settings!$B$8,I$3:W$3)</f>
        <v>45</v>
      </c>
      <c r="AC35" s="9" t="n">
        <f aca="false">IF(D35="","",IF(D35&gt;=Settings!$B$39,1,IF(D35&gt;=Settings!$B$40,2,IF(D35&gt;=Settings!$B$41,3,4))))</f>
        <v>4</v>
      </c>
      <c r="AD35" s="9" t="n">
        <f aca="false">IF(AC35="","",IF(H35="",IF(C35="Memecoin",MAX(AC35,3),AC35),IF(H35&gt;=4,MAX(AC35,H35),IF(C35="Memecoin",MAX(AC35,3),MAX(AC35,MIN(H35,AC35+1))))))</f>
        <v>4</v>
      </c>
      <c r="AE35" s="16" t="str">
        <f aca="false">IF(C35="","",IF(SUMPRODUCT((INDEX(Settings!$B$31:$P$34,MATCH(C35,Settings!$A$31:$A$34,0),0)=1)*(I35:W35&lt;&gt;"NA"))&gt;0,"Group NA missing","OK"))</f>
        <v>OK</v>
      </c>
    </row>
    <row r="36" customFormat="false" ht="15" hidden="false" customHeight="true" outlineLevel="0" collapsed="false">
      <c r="A36" s="8" t="s">
        <v>150</v>
      </c>
      <c r="B36" s="9" t="s">
        <v>151</v>
      </c>
      <c r="C36" s="10" t="s">
        <v>57</v>
      </c>
      <c r="D36" s="11" t="n">
        <f aca="false">IF(AA36=0,"",ROUND(AB36/AA36*100,1))</f>
        <v>78.9</v>
      </c>
      <c r="E36" s="12" t="n">
        <f aca="false">IF(D36="","",ROUND(D36/10,1))</f>
        <v>7.9</v>
      </c>
      <c r="F36" s="13" t="n">
        <f aca="false">IF(Z36=0,0,AA36/Z36)</f>
        <v>0.95</v>
      </c>
      <c r="G36" s="14" t="str">
        <f aca="false">IF(D36="","",IF(F36&lt;Settings!$B$42,"Not rated (low coverage)",CHOOSE(AD36,"Exceptional","Strong","Average/Decent","Weak")))</f>
        <v>Strong</v>
      </c>
      <c r="H36" s="15"/>
      <c r="I36" s="15" t="s">
        <v>52</v>
      </c>
      <c r="J36" s="15" t="s">
        <v>52</v>
      </c>
      <c r="K36" s="15" t="s">
        <v>51</v>
      </c>
      <c r="L36" s="15" t="s">
        <v>52</v>
      </c>
      <c r="M36" s="15" t="s">
        <v>49</v>
      </c>
      <c r="N36" s="15" t="s">
        <v>58</v>
      </c>
      <c r="O36" s="15" t="s">
        <v>51</v>
      </c>
      <c r="P36" s="15" t="s">
        <v>49</v>
      </c>
      <c r="Q36" s="15" t="s">
        <v>49</v>
      </c>
      <c r="R36" s="15"/>
      <c r="S36" s="15" t="s">
        <v>49</v>
      </c>
      <c r="T36" s="15" t="s">
        <v>49</v>
      </c>
      <c r="U36" s="15" t="s">
        <v>49</v>
      </c>
      <c r="V36" s="15" t="s">
        <v>51</v>
      </c>
      <c r="W36" s="15" t="s">
        <v>49</v>
      </c>
      <c r="X36" s="15" t="s">
        <v>53</v>
      </c>
      <c r="Y36" s="10" t="s">
        <v>152</v>
      </c>
      <c r="Z36" s="9" t="n">
        <f aca="false">SUMPRODUCT(--(I36:W36&lt;&gt;"NA"),I$3:W$3)</f>
        <v>100</v>
      </c>
      <c r="AA36" s="9" t="n">
        <f aca="false">SUMPRODUCT(--(I36:W36&lt;&gt;""),--(I36:W36&lt;&gt;"NA"),I$3:W$3)</f>
        <v>95</v>
      </c>
      <c r="AB36" s="9" t="n">
        <f aca="false">SUMPRODUCT((I36:W36="A")*Settings!$B$4+(I36:W36="B")*Settings!$B$5+(I36:W36="C")*Settings!$B$6+(I36:W36="D")*Settings!$B$7+(I36:W36="E")*Settings!$B$8,I$3:W$3)</f>
        <v>75</v>
      </c>
      <c r="AC36" s="9" t="n">
        <f aca="false">IF(D36="","",IF(D36&gt;=Settings!$B$39,1,IF(D36&gt;=Settings!$B$40,2,IF(D36&gt;=Settings!$B$41,3,4))))</f>
        <v>2</v>
      </c>
      <c r="AD36" s="9" t="n">
        <f aca="false">IF(AC36="","",IF(H36="",IF(C36="Memecoin",MAX(AC36,3),AC36),IF(H36&gt;=4,MAX(AC36,H36),IF(C36="Memecoin",MAX(AC36,3),MAX(AC36,MIN(H36,AC36+1))))))</f>
        <v>2</v>
      </c>
      <c r="AE36" s="16" t="str">
        <f aca="false">IF(C36="","",IF(SUMPRODUCT((INDEX(Settings!$B$31:$P$34,MATCH(C36,Settings!$A$31:$A$34,0),0)=1)*(I36:W36&lt;&gt;"NA"))&gt;0,"Group NA missing","OK"))</f>
        <v>OK</v>
      </c>
    </row>
    <row r="37" customFormat="false" ht="15" hidden="false" customHeight="true" outlineLevel="0" collapsed="false">
      <c r="A37" s="8" t="s">
        <v>153</v>
      </c>
      <c r="B37" s="9" t="s">
        <v>154</v>
      </c>
      <c r="C37" s="10" t="s">
        <v>57</v>
      </c>
      <c r="D37" s="11" t="n">
        <f aca="false">IF(AA37=0,"",ROUND(AB37/AA37*100,1))</f>
        <v>72.2</v>
      </c>
      <c r="E37" s="12" t="n">
        <f aca="false">IF(D37="","",ROUND(D37/10,1))</f>
        <v>7.2</v>
      </c>
      <c r="F37" s="13" t="n">
        <f aca="false">IF(Z37=0,0,AA37/Z37)</f>
        <v>0.9</v>
      </c>
      <c r="G37" s="14" t="str">
        <f aca="false">IF(D37="","",IF(F37&lt;Settings!$B$42,"Not rated (low coverage)",CHOOSE(AD37,"Exceptional","Strong","Average/Decent","Weak")))</f>
        <v>Average/Decent</v>
      </c>
      <c r="H37" s="15"/>
      <c r="I37" s="15" t="s">
        <v>49</v>
      </c>
      <c r="J37" s="15" t="s">
        <v>49</v>
      </c>
      <c r="K37" s="15" t="s">
        <v>58</v>
      </c>
      <c r="L37" s="15" t="s">
        <v>72</v>
      </c>
      <c r="M37" s="15" t="s">
        <v>49</v>
      </c>
      <c r="N37" s="15" t="s">
        <v>72</v>
      </c>
      <c r="O37" s="15" t="s">
        <v>51</v>
      </c>
      <c r="P37" s="15" t="s">
        <v>49</v>
      </c>
      <c r="Q37" s="15" t="s">
        <v>49</v>
      </c>
      <c r="R37" s="15"/>
      <c r="S37" s="15" t="s">
        <v>49</v>
      </c>
      <c r="T37" s="15" t="s">
        <v>49</v>
      </c>
      <c r="U37" s="15"/>
      <c r="V37" s="15" t="s">
        <v>51</v>
      </c>
      <c r="W37" s="15" t="s">
        <v>52</v>
      </c>
      <c r="X37" s="15" t="s">
        <v>53</v>
      </c>
      <c r="Y37" s="10" t="s">
        <v>155</v>
      </c>
      <c r="Z37" s="9" t="n">
        <f aca="false">SUMPRODUCT(--(I37:W37&lt;&gt;"NA"),I$3:W$3)</f>
        <v>100</v>
      </c>
      <c r="AA37" s="9" t="n">
        <f aca="false">SUMPRODUCT(--(I37:W37&lt;&gt;""),--(I37:W37&lt;&gt;"NA"),I$3:W$3)</f>
        <v>90</v>
      </c>
      <c r="AB37" s="9" t="n">
        <f aca="false">SUMPRODUCT((I37:W37="A")*Settings!$B$4+(I37:W37="B")*Settings!$B$5+(I37:W37="C")*Settings!$B$6+(I37:W37="D")*Settings!$B$7+(I37:W37="E")*Settings!$B$8,I$3:W$3)</f>
        <v>65</v>
      </c>
      <c r="AC37" s="9" t="n">
        <f aca="false">IF(D37="","",IF(D37&gt;=Settings!$B$39,1,IF(D37&gt;=Settings!$B$40,2,IF(D37&gt;=Settings!$B$41,3,4))))</f>
        <v>3</v>
      </c>
      <c r="AD37" s="9" t="n">
        <f aca="false">IF(AC37="","",IF(H37="",IF(C37="Memecoin",MAX(AC37,3),AC37),IF(H37&gt;=4,MAX(AC37,H37),IF(C37="Memecoin",MAX(AC37,3),MAX(AC37,MIN(H37,AC37+1))))))</f>
        <v>3</v>
      </c>
      <c r="AE37" s="16" t="str">
        <f aca="false">IF(C37="","",IF(SUMPRODUCT((INDEX(Settings!$B$31:$P$34,MATCH(C37,Settings!$A$31:$A$34,0),0)=1)*(I37:W37&lt;&gt;"NA"))&gt;0,"Group NA missing","OK"))</f>
        <v>OK</v>
      </c>
    </row>
    <row r="38" customFormat="false" ht="15" hidden="false" customHeight="true" outlineLevel="0" collapsed="false">
      <c r="A38" s="8" t="s">
        <v>156</v>
      </c>
      <c r="B38" s="9" t="s">
        <v>157</v>
      </c>
      <c r="C38" s="10" t="s">
        <v>57</v>
      </c>
      <c r="D38" s="11" t="n">
        <f aca="false">IF(AA38=0,"",ROUND(AB38/AA38*100,1))</f>
        <v>54.4</v>
      </c>
      <c r="E38" s="12" t="n">
        <f aca="false">IF(D38="","",ROUND(D38/10,1))</f>
        <v>5.4</v>
      </c>
      <c r="F38" s="13" t="n">
        <f aca="false">IF(Z38=0,0,AA38/Z38)</f>
        <v>0.85</v>
      </c>
      <c r="G38" s="14" t="str">
        <f aca="false">IF(D38="","",IF(F38&lt;Settings!$B$42,"Not rated (low coverage)",CHOOSE(AD38,"Exceptional","Strong","Average/Decent","Weak")))</f>
        <v>Weak</v>
      </c>
      <c r="H38" s="15"/>
      <c r="I38" s="15" t="s">
        <v>52</v>
      </c>
      <c r="J38" s="15" t="s">
        <v>49</v>
      </c>
      <c r="K38" s="15"/>
      <c r="L38" s="15" t="s">
        <v>51</v>
      </c>
      <c r="M38" s="15" t="s">
        <v>58</v>
      </c>
      <c r="N38" s="15" t="s">
        <v>72</v>
      </c>
      <c r="O38" s="15" t="s">
        <v>58</v>
      </c>
      <c r="P38" s="15" t="s">
        <v>49</v>
      </c>
      <c r="Q38" s="15" t="s">
        <v>51</v>
      </c>
      <c r="R38" s="15"/>
      <c r="S38" s="15" t="s">
        <v>49</v>
      </c>
      <c r="T38" s="15" t="s">
        <v>58</v>
      </c>
      <c r="U38" s="15"/>
      <c r="V38" s="15" t="s">
        <v>58</v>
      </c>
      <c r="W38" s="15" t="s">
        <v>49</v>
      </c>
      <c r="X38" s="15" t="s">
        <v>53</v>
      </c>
      <c r="Y38" s="10" t="s">
        <v>158</v>
      </c>
      <c r="Z38" s="9" t="n">
        <f aca="false">SUMPRODUCT(--(I38:W38&lt;&gt;"NA"),I$3:W$3)</f>
        <v>100</v>
      </c>
      <c r="AA38" s="9" t="n">
        <f aca="false">SUMPRODUCT(--(I38:W38&lt;&gt;""),--(I38:W38&lt;&gt;"NA"),I$3:W$3)</f>
        <v>85</v>
      </c>
      <c r="AB38" s="9" t="n">
        <f aca="false">SUMPRODUCT((I38:W38="A")*Settings!$B$4+(I38:W38="B")*Settings!$B$5+(I38:W38="C")*Settings!$B$6+(I38:W38="D")*Settings!$B$7+(I38:W38="E")*Settings!$B$8,I$3:W$3)</f>
        <v>46.25</v>
      </c>
      <c r="AC38" s="9" t="n">
        <f aca="false">IF(D38="","",IF(D38&gt;=Settings!$B$39,1,IF(D38&gt;=Settings!$B$40,2,IF(D38&gt;=Settings!$B$41,3,4))))</f>
        <v>4</v>
      </c>
      <c r="AD38" s="9" t="n">
        <f aca="false">IF(AC38="","",IF(H38="",IF(C38="Memecoin",MAX(AC38,3),AC38),IF(H38&gt;=4,MAX(AC38,H38),IF(C38="Memecoin",MAX(AC38,3),MAX(AC38,MIN(H38,AC38+1))))))</f>
        <v>4</v>
      </c>
      <c r="AE38" s="16" t="str">
        <f aca="false">IF(C38="","",IF(SUMPRODUCT((INDEX(Settings!$B$31:$P$34,MATCH(C38,Settings!$A$31:$A$34,0),0)=1)*(I38:W38&lt;&gt;"NA"))&gt;0,"Group NA missing","OK"))</f>
        <v>OK</v>
      </c>
    </row>
    <row r="39" customFormat="false" ht="15" hidden="false" customHeight="true" outlineLevel="0" collapsed="false">
      <c r="A39" s="8" t="s">
        <v>159</v>
      </c>
      <c r="B39" s="9" t="s">
        <v>160</v>
      </c>
      <c r="C39" s="10" t="s">
        <v>57</v>
      </c>
      <c r="D39" s="11" t="n">
        <f aca="false">IF(AA39=0,"",ROUND(AB39/AA39*100,1))</f>
        <v>64.1</v>
      </c>
      <c r="E39" s="12" t="n">
        <f aca="false">IF(D39="","",ROUND(D39/10,1))</f>
        <v>6.4</v>
      </c>
      <c r="F39" s="13" t="n">
        <f aca="false">IF(Z39=0,0,AA39/Z39)</f>
        <v>0.8</v>
      </c>
      <c r="G39" s="14" t="str">
        <f aca="false">IF(D39="","",IF(F39&lt;Settings!$B$42,"Not rated (low coverage)",CHOOSE(AD39,"Exceptional","Strong","Average/Decent","Weak")))</f>
        <v>Average/Decent</v>
      </c>
      <c r="H39" s="15"/>
      <c r="I39" s="15" t="s">
        <v>49</v>
      </c>
      <c r="J39" s="15" t="s">
        <v>49</v>
      </c>
      <c r="K39" s="15"/>
      <c r="L39" s="15" t="s">
        <v>51</v>
      </c>
      <c r="M39" s="15" t="s">
        <v>58</v>
      </c>
      <c r="N39" s="15" t="s">
        <v>72</v>
      </c>
      <c r="O39" s="15"/>
      <c r="P39" s="15" t="s">
        <v>49</v>
      </c>
      <c r="Q39" s="15" t="s">
        <v>51</v>
      </c>
      <c r="R39" s="15"/>
      <c r="S39" s="15" t="s">
        <v>49</v>
      </c>
      <c r="T39" s="15" t="s">
        <v>52</v>
      </c>
      <c r="U39" s="15"/>
      <c r="V39" s="15" t="s">
        <v>51</v>
      </c>
      <c r="W39" s="15" t="s">
        <v>49</v>
      </c>
      <c r="X39" s="15" t="s">
        <v>53</v>
      </c>
      <c r="Y39" s="10" t="s">
        <v>161</v>
      </c>
      <c r="Z39" s="9" t="n">
        <f aca="false">SUMPRODUCT(--(I39:W39&lt;&gt;"NA"),I$3:W$3)</f>
        <v>100</v>
      </c>
      <c r="AA39" s="9" t="n">
        <f aca="false">SUMPRODUCT(--(I39:W39&lt;&gt;""),--(I39:W39&lt;&gt;"NA"),I$3:W$3)</f>
        <v>80</v>
      </c>
      <c r="AB39" s="9" t="n">
        <f aca="false">SUMPRODUCT((I39:W39="A")*Settings!$B$4+(I39:W39="B")*Settings!$B$5+(I39:W39="C")*Settings!$B$6+(I39:W39="D")*Settings!$B$7+(I39:W39="E")*Settings!$B$8,I$3:W$3)</f>
        <v>51.25</v>
      </c>
      <c r="AC39" s="9" t="n">
        <f aca="false">IF(D39="","",IF(D39&gt;=Settings!$B$39,1,IF(D39&gt;=Settings!$B$40,2,IF(D39&gt;=Settings!$B$41,3,4))))</f>
        <v>3</v>
      </c>
      <c r="AD39" s="9" t="n">
        <f aca="false">IF(AC39="","",IF(H39="",IF(C39="Memecoin",MAX(AC39,3),AC39),IF(H39&gt;=4,MAX(AC39,H39),IF(C39="Memecoin",MAX(AC39,3),MAX(AC39,MIN(H39,AC39+1))))))</f>
        <v>3</v>
      </c>
      <c r="AE39" s="16" t="str">
        <f aca="false">IF(C39="","",IF(SUMPRODUCT((INDEX(Settings!$B$31:$P$34,MATCH(C39,Settings!$A$31:$A$34,0),0)=1)*(I39:W39&lt;&gt;"NA"))&gt;0,"Group NA missing","OK"))</f>
        <v>OK</v>
      </c>
    </row>
    <row r="40" customFormat="false" ht="15" hidden="false" customHeight="true" outlineLevel="0" collapsed="false">
      <c r="A40" s="8" t="s">
        <v>162</v>
      </c>
      <c r="B40" s="9" t="s">
        <v>163</v>
      </c>
      <c r="C40" s="10" t="s">
        <v>57</v>
      </c>
      <c r="D40" s="11" t="n">
        <f aca="false">IF(AA40=0,"",ROUND(AB40/AA40*100,1))</f>
        <v>76.3</v>
      </c>
      <c r="E40" s="12" t="n">
        <f aca="false">IF(D40="","",ROUND(D40/10,1))</f>
        <v>7.6</v>
      </c>
      <c r="F40" s="13" t="n">
        <f aca="false">IF(Z40=0,0,AA40/Z40)</f>
        <v>1</v>
      </c>
      <c r="G40" s="14" t="str">
        <f aca="false">IF(D40="","",IF(F40&lt;Settings!$B$42,"Not rated (low coverage)",CHOOSE(AD40,"Exceptional","Strong","Average/Decent","Weak")))</f>
        <v>Strong</v>
      </c>
      <c r="H40" s="15"/>
      <c r="I40" s="15" t="s">
        <v>52</v>
      </c>
      <c r="J40" s="15" t="s">
        <v>52</v>
      </c>
      <c r="K40" s="15" t="s">
        <v>51</v>
      </c>
      <c r="L40" s="15" t="s">
        <v>58</v>
      </c>
      <c r="M40" s="15" t="s">
        <v>49</v>
      </c>
      <c r="N40" s="15" t="s">
        <v>52</v>
      </c>
      <c r="O40" s="15" t="s">
        <v>52</v>
      </c>
      <c r="P40" s="15" t="s">
        <v>49</v>
      </c>
      <c r="Q40" s="15" t="s">
        <v>49</v>
      </c>
      <c r="R40" s="15" t="s">
        <v>52</v>
      </c>
      <c r="S40" s="15" t="s">
        <v>49</v>
      </c>
      <c r="T40" s="15" t="s">
        <v>51</v>
      </c>
      <c r="U40" s="15" t="s">
        <v>49</v>
      </c>
      <c r="V40" s="15" t="s">
        <v>51</v>
      </c>
      <c r="W40" s="15" t="s">
        <v>58</v>
      </c>
      <c r="X40" s="15" t="s">
        <v>164</v>
      </c>
      <c r="Y40" s="10" t="s">
        <v>165</v>
      </c>
      <c r="Z40" s="9" t="n">
        <f aca="false">SUMPRODUCT(--(I40:W40&lt;&gt;"NA"),I$3:W$3)</f>
        <v>100</v>
      </c>
      <c r="AA40" s="9" t="n">
        <f aca="false">SUMPRODUCT(--(I40:W40&lt;&gt;""),--(I40:W40&lt;&gt;"NA"),I$3:W$3)</f>
        <v>100</v>
      </c>
      <c r="AB40" s="9" t="n">
        <f aca="false">SUMPRODUCT((I40:W40="A")*Settings!$B$4+(I40:W40="B")*Settings!$B$5+(I40:W40="C")*Settings!$B$6+(I40:W40="D")*Settings!$B$7+(I40:W40="E")*Settings!$B$8,I$3:W$3)</f>
        <v>76.25</v>
      </c>
      <c r="AC40" s="9" t="n">
        <f aca="false">IF(D40="","",IF(D40&gt;=Settings!$B$39,1,IF(D40&gt;=Settings!$B$40,2,IF(D40&gt;=Settings!$B$41,3,4))))</f>
        <v>2</v>
      </c>
      <c r="AD40" s="9" t="n">
        <f aca="false">IF(AC40="","",IF(H40="",IF(C40="Memecoin",MAX(AC40,3),AC40),IF(H40&gt;=4,MAX(AC40,H40),IF(C40="Memecoin",MAX(AC40,3),MAX(AC40,MIN(H40,AC40+1))))))</f>
        <v>2</v>
      </c>
      <c r="AE40" s="16" t="str">
        <f aca="false">IF(C40="","",IF(SUMPRODUCT((INDEX(Settings!$B$31:$P$34,MATCH(C40,Settings!$A$31:$A$34,0),0)=1)*(I40:W40&lt;&gt;"NA"))&gt;0,"Group NA missing","OK"))</f>
        <v>OK</v>
      </c>
    </row>
    <row r="41" customFormat="false" ht="15" hidden="false" customHeight="true" outlineLevel="0" collapsed="false">
      <c r="A41" s="8" t="s">
        <v>166</v>
      </c>
      <c r="B41" s="9" t="s">
        <v>167</v>
      </c>
      <c r="C41" s="10" t="s">
        <v>57</v>
      </c>
      <c r="D41" s="11" t="n">
        <f aca="false">IF(AA41=0,"",ROUND(AB41/AA41*100,1))</f>
        <v>57.5</v>
      </c>
      <c r="E41" s="12" t="n">
        <f aca="false">IF(D41="","",ROUND(D41/10,1))</f>
        <v>5.8</v>
      </c>
      <c r="F41" s="13" t="n">
        <f aca="false">IF(Z41=0,0,AA41/Z41)</f>
        <v>1</v>
      </c>
      <c r="G41" s="14" t="str">
        <f aca="false">IF(D41="","",IF(F41&lt;Settings!$B$42,"Not rated (low coverage)",CHOOSE(AD41,"Exceptional","Strong","Average/Decent","Weak")))</f>
        <v>Weak</v>
      </c>
      <c r="H41" s="15"/>
      <c r="I41" s="15" t="s">
        <v>52</v>
      </c>
      <c r="J41" s="15" t="s">
        <v>51</v>
      </c>
      <c r="K41" s="15" t="s">
        <v>72</v>
      </c>
      <c r="L41" s="15" t="s">
        <v>72</v>
      </c>
      <c r="M41" s="15" t="s">
        <v>52</v>
      </c>
      <c r="N41" s="15" t="s">
        <v>72</v>
      </c>
      <c r="O41" s="15" t="s">
        <v>58</v>
      </c>
      <c r="P41" s="15" t="s">
        <v>49</v>
      </c>
      <c r="Q41" s="15" t="s">
        <v>51</v>
      </c>
      <c r="R41" s="15" t="s">
        <v>58</v>
      </c>
      <c r="S41" s="15" t="s">
        <v>49</v>
      </c>
      <c r="T41" s="15" t="s">
        <v>49</v>
      </c>
      <c r="U41" s="15" t="s">
        <v>49</v>
      </c>
      <c r="V41" s="15" t="s">
        <v>51</v>
      </c>
      <c r="W41" s="15" t="s">
        <v>49</v>
      </c>
      <c r="X41" s="15" t="s">
        <v>164</v>
      </c>
      <c r="Y41" s="10" t="s">
        <v>168</v>
      </c>
      <c r="Z41" s="9" t="n">
        <f aca="false">SUMPRODUCT(--(I41:W41&lt;&gt;"NA"),I$3:W$3)</f>
        <v>100</v>
      </c>
      <c r="AA41" s="9" t="n">
        <f aca="false">SUMPRODUCT(--(I41:W41&lt;&gt;""),--(I41:W41&lt;&gt;"NA"),I$3:W$3)</f>
        <v>100</v>
      </c>
      <c r="AB41" s="9" t="n">
        <f aca="false">SUMPRODUCT((I41:W41="A")*Settings!$B$4+(I41:W41="B")*Settings!$B$5+(I41:W41="C")*Settings!$B$6+(I41:W41="D")*Settings!$B$7+(I41:W41="E")*Settings!$B$8,I$3:W$3)</f>
        <v>57.5</v>
      </c>
      <c r="AC41" s="9" t="n">
        <f aca="false">IF(D41="","",IF(D41&gt;=Settings!$B$39,1,IF(D41&gt;=Settings!$B$40,2,IF(D41&gt;=Settings!$B$41,3,4))))</f>
        <v>4</v>
      </c>
      <c r="AD41" s="9" t="n">
        <f aca="false">IF(AC41="","",IF(H41="",IF(C41="Memecoin",MAX(AC41,3),AC41),IF(H41&gt;=4,MAX(AC41,H41),IF(C41="Memecoin",MAX(AC41,3),MAX(AC41,MIN(H41,AC41+1))))))</f>
        <v>4</v>
      </c>
      <c r="AE41" s="16" t="str">
        <f aca="false">IF(C41="","",IF(SUMPRODUCT((INDEX(Settings!$B$31:$P$34,MATCH(C41,Settings!$A$31:$A$34,0),0)=1)*(I41:W41&lt;&gt;"NA"))&gt;0,"Group NA missing","OK"))</f>
        <v>OK</v>
      </c>
    </row>
    <row r="42" customFormat="false" ht="15" hidden="false" customHeight="true" outlineLevel="0" collapsed="false">
      <c r="A42" s="8" t="s">
        <v>169</v>
      </c>
      <c r="B42" s="9" t="s">
        <v>170</v>
      </c>
      <c r="C42" s="10" t="s">
        <v>57</v>
      </c>
      <c r="D42" s="11" t="n">
        <f aca="false">IF(AA42=0,"",ROUND(AB42/AA42*100,1))</f>
        <v>60.9</v>
      </c>
      <c r="E42" s="12" t="n">
        <f aca="false">IF(D42="","",ROUND(D42/10,1))</f>
        <v>6.1</v>
      </c>
      <c r="F42" s="13" t="n">
        <f aca="false">IF(Z42=0,0,AA42/Z42)</f>
        <v>0.8</v>
      </c>
      <c r="G42" s="14" t="str">
        <f aca="false">IF(D42="","",IF(F42&lt;Settings!$B$42,"Not rated (low coverage)",CHOOSE(AD42,"Exceptional","Strong","Average/Decent","Weak")))</f>
        <v>Average/Decent</v>
      </c>
      <c r="H42" s="15"/>
      <c r="I42" s="15" t="s">
        <v>52</v>
      </c>
      <c r="J42" s="15" t="s">
        <v>58</v>
      </c>
      <c r="K42" s="15" t="s">
        <v>58</v>
      </c>
      <c r="L42" s="15"/>
      <c r="M42" s="15" t="s">
        <v>51</v>
      </c>
      <c r="N42" s="15"/>
      <c r="O42" s="15" t="s">
        <v>51</v>
      </c>
      <c r="P42" s="15" t="s">
        <v>49</v>
      </c>
      <c r="Q42" s="15" t="s">
        <v>51</v>
      </c>
      <c r="R42" s="15" t="s">
        <v>51</v>
      </c>
      <c r="S42" s="15" t="s">
        <v>49</v>
      </c>
      <c r="T42" s="15" t="s">
        <v>51</v>
      </c>
      <c r="U42" s="15"/>
      <c r="V42" s="15" t="s">
        <v>58</v>
      </c>
      <c r="W42" s="15" t="s">
        <v>49</v>
      </c>
      <c r="X42" s="15" t="s">
        <v>59</v>
      </c>
      <c r="Y42" s="10" t="s">
        <v>171</v>
      </c>
      <c r="Z42" s="9" t="n">
        <f aca="false">SUMPRODUCT(--(I42:W42&lt;&gt;"NA"),I$3:W$3)</f>
        <v>100</v>
      </c>
      <c r="AA42" s="9" t="n">
        <f aca="false">SUMPRODUCT(--(I42:W42&lt;&gt;""),--(I42:W42&lt;&gt;"NA"),I$3:W$3)</f>
        <v>80</v>
      </c>
      <c r="AB42" s="9" t="n">
        <f aca="false">SUMPRODUCT((I42:W42="A")*Settings!$B$4+(I42:W42="B")*Settings!$B$5+(I42:W42="C")*Settings!$B$6+(I42:W42="D")*Settings!$B$7+(I42:W42="E")*Settings!$B$8,I$3:W$3)</f>
        <v>48.75</v>
      </c>
      <c r="AC42" s="9" t="n">
        <f aca="false">IF(D42="","",IF(D42&gt;=Settings!$B$39,1,IF(D42&gt;=Settings!$B$40,2,IF(D42&gt;=Settings!$B$41,3,4))))</f>
        <v>3</v>
      </c>
      <c r="AD42" s="9" t="n">
        <f aca="false">IF(AC42="","",IF(H42="",IF(C42="Memecoin",MAX(AC42,3),AC42),IF(H42&gt;=4,MAX(AC42,H42),IF(C42="Memecoin",MAX(AC42,3),MAX(AC42,MIN(H42,AC42+1))))))</f>
        <v>3</v>
      </c>
      <c r="AE42" s="16" t="str">
        <f aca="false">IF(C42="","",IF(SUMPRODUCT((INDEX(Settings!$B$31:$P$34,MATCH(C42,Settings!$A$31:$A$34,0),0)=1)*(I42:W42&lt;&gt;"NA"))&gt;0,"Group NA missing","OK"))</f>
        <v>OK</v>
      </c>
    </row>
  </sheetData>
  <conditionalFormatting sqref="G5:G81">
    <cfRule type="expression" priority="2" aboveAverage="0" equalAverage="0" bottom="0" percent="0" rank="0" text="" dxfId="0">
      <formula>LEFT($G5,11)="Exceptional"</formula>
    </cfRule>
    <cfRule type="expression" priority="3" aboveAverage="0" equalAverage="0" bottom="0" percent="0" rank="0" text="" dxfId="1">
      <formula>LEFT($G5,6)="Strong"</formula>
    </cfRule>
    <cfRule type="expression" priority="4" aboveAverage="0" equalAverage="0" bottom="0" percent="0" rank="0" text="" dxfId="2">
      <formula>LEFT($G5,14)="Average/Decent"</formula>
    </cfRule>
    <cfRule type="expression" priority="5" aboveAverage="0" equalAverage="0" bottom="0" percent="0" rank="0" text="" dxfId="3">
      <formula>LEFT($G5,4)="Weak"</formula>
    </cfRule>
    <cfRule type="expression" priority="6" aboveAverage="0" equalAverage="0" bottom="0" percent="0" rank="0" text="" dxfId="4">
      <formula>LEFT($G5,9)="Not rated"</formula>
    </cfRule>
  </conditionalFormatting>
  <conditionalFormatting sqref="AE5:AE81">
    <cfRule type="expression" priority="7" aboveAverage="0" equalAverage="0" bottom="0" percent="0" rank="0" text="" dxfId="5">
      <formula>$AE5="Group NA missing"</formula>
    </cfRule>
  </conditionalFormatting>
  <dataValidations count="3">
    <dataValidation allowBlank="true" errorStyle="stop" operator="between" showDropDown="false" showErrorMessage="false" showInputMessage="false" sqref="I5:W81" type="list">
      <formula1>"A,B,C,D,E,NA"</formula1>
      <formula2>0</formula2>
    </dataValidation>
    <dataValidation allowBlank="true" errorStyle="stop" operator="between" showDropDown="false" showErrorMessage="false" showInputMessage="false" sqref="C5:C81" type="list">
      <formula1>Settings!$A$31:$A$34</formula1>
      <formula2>0</formula2>
    </dataValidation>
    <dataValidation allowBlank="true" errorStyle="stop" operator="between" showDropDown="false" showErrorMessage="false" showInputMessage="false" sqref="H5:H81" type="list">
      <formula1>"3,4"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16"/>
    <col collapsed="false" customWidth="true" hidden="true" outlineLevel="0" max="8" min="8" style="1" width="13"/>
    <col collapsed="false" customWidth="true" hidden="false" outlineLevel="0" max="9" min="9" style="1" width="3"/>
    <col collapsed="false" customWidth="true" hidden="false" outlineLevel="0" max="10" min="10" style="1" width="13"/>
    <col collapsed="false" customWidth="true" hidden="false" outlineLevel="0" max="11" min="11" style="1" width="30"/>
    <col collapsed="false" customWidth="true" hidden="false" outlineLevel="0" max="12" min="12" style="1" width="36"/>
    <col collapsed="false" customWidth="true" hidden="false" outlineLevel="0" max="13" min="13" style="1" width="7"/>
  </cols>
  <sheetData>
    <row r="1" customFormat="false" ht="17.25" hidden="false" customHeight="true" outlineLevel="0" collapsed="false">
      <c r="A1" s="2" t="s">
        <v>172</v>
      </c>
    </row>
    <row r="2" customFormat="false" ht="15" hidden="false" customHeight="true" outlineLevel="0" collapsed="false">
      <c r="A2" s="5" t="s">
        <v>173</v>
      </c>
    </row>
    <row r="3" customFormat="false" ht="15" hidden="false" customHeight="true" outlineLevel="0" collapsed="false">
      <c r="A3" s="5" t="s">
        <v>174</v>
      </c>
    </row>
    <row r="5" customFormat="false" ht="15" hidden="false" customHeight="true" outlineLevel="0" collapsed="false">
      <c r="J5" s="4" t="s">
        <v>175</v>
      </c>
    </row>
    <row r="6" customFormat="false" ht="45.75" hidden="false" customHeight="true" outlineLevel="0" collapsed="false">
      <c r="A6" s="7" t="s">
        <v>15</v>
      </c>
      <c r="B6" s="7" t="s">
        <v>176</v>
      </c>
      <c r="C6" s="7" t="s">
        <v>177</v>
      </c>
      <c r="D6" s="7" t="s">
        <v>38</v>
      </c>
      <c r="E6" s="7" t="s">
        <v>178</v>
      </c>
      <c r="F6" s="7" t="s">
        <v>179</v>
      </c>
      <c r="G6" s="7" t="s">
        <v>21</v>
      </c>
      <c r="H6" s="7" t="s">
        <v>180</v>
      </c>
      <c r="J6" s="7" t="s">
        <v>181</v>
      </c>
      <c r="K6" s="7" t="s">
        <v>182</v>
      </c>
      <c r="L6" s="7" t="s">
        <v>183</v>
      </c>
      <c r="M6" s="7" t="s">
        <v>184</v>
      </c>
    </row>
    <row r="7" customFormat="false" ht="15" hidden="false" customHeight="true" outlineLevel="0" collapsed="false">
      <c r="A7" s="14" t="s">
        <v>46</v>
      </c>
      <c r="B7" s="10" t="s">
        <v>185</v>
      </c>
      <c r="C7" s="9" t="n">
        <f aca="false">IF(B7="yes",13,26)</f>
        <v>13</v>
      </c>
      <c r="D7" s="9" t="str">
        <f aca="false">IFERROR(INDEX(Grades!$X:$X,MATCH(A7,Grades!$A:$A,0)),"")</f>
        <v>2026-10-05</v>
      </c>
      <c r="E7" s="17" t="n">
        <v>46307</v>
      </c>
      <c r="F7" s="16" t="str">
        <f aca="true">IF(E7="","",IF(E7&lt;TODAY()-WEEKDAY(TODAY(),3),"Overdue",IF(E7=TODAY()-WEEKDAY(TODAY(),3),"This week",IF(E7=TODAY()-WEEKDAY(TODAY(),3)+7,"Next week",""))))</f>
        <v>Next week</v>
      </c>
      <c r="G7" s="9" t="str">
        <f aca="false">IFERROR(INDEX(Grades!$G:$G,MATCH(A7,Grades!$A:$A,0)),"")</f>
        <v>Exceptional</v>
      </c>
      <c r="H7" s="17" t="n">
        <v>46300</v>
      </c>
      <c r="J7" s="17" t="n">
        <v>46300</v>
      </c>
      <c r="K7" s="9"/>
      <c r="L7" s="9"/>
      <c r="M7" s="9" t="n">
        <v>0</v>
      </c>
    </row>
    <row r="8" customFormat="false" ht="15" hidden="false" customHeight="true" outlineLevel="0" collapsed="false">
      <c r="A8" s="14" t="s">
        <v>55</v>
      </c>
      <c r="B8" s="10" t="s">
        <v>185</v>
      </c>
      <c r="C8" s="9" t="n">
        <f aca="false">IF(B8="yes",13,26)</f>
        <v>13</v>
      </c>
      <c r="D8" s="9" t="str">
        <f aca="false">IFERROR(INDEX(Grades!$X:$X,MATCH(A8,Grades!$A:$A,0)),"")</f>
        <v>2026-10-07</v>
      </c>
      <c r="E8" s="17" t="n">
        <v>46314</v>
      </c>
      <c r="F8" s="16" t="str">
        <f aca="true">IF(E8="","",IF(E8&lt;TODAY()-WEEKDAY(TODAY(),3),"Overdue",IF(E8=TODAY()-WEEKDAY(TODAY(),3),"This week",IF(E8=TODAY()-WEEKDAY(TODAY(),3)+7,"Next week",""))))</f>
        <v/>
      </c>
      <c r="G8" s="9" t="str">
        <f aca="false">IFERROR(INDEX(Grades!$G:$G,MATCH(A8,Grades!$A:$A,0)),"")</f>
        <v>Strong</v>
      </c>
      <c r="H8" s="17" t="n">
        <v>46302</v>
      </c>
      <c r="J8" s="17" t="n">
        <v>46307</v>
      </c>
      <c r="K8" s="9" t="s">
        <v>186</v>
      </c>
      <c r="L8" s="9"/>
      <c r="M8" s="9" t="n">
        <v>2</v>
      </c>
    </row>
    <row r="9" customFormat="false" ht="15" hidden="false" customHeight="true" outlineLevel="0" collapsed="false">
      <c r="A9" s="14" t="s">
        <v>61</v>
      </c>
      <c r="B9" s="10" t="s">
        <v>185</v>
      </c>
      <c r="C9" s="9" t="n">
        <f aca="false">IF(B9="yes",13,26)</f>
        <v>13</v>
      </c>
      <c r="D9" s="9" t="str">
        <f aca="false">IFERROR(INDEX(Grades!$X:$X,MATCH(A9,Grades!$A:$A,0)),"")</f>
        <v>2026-10-05</v>
      </c>
      <c r="E9" s="17" t="n">
        <v>46321</v>
      </c>
      <c r="F9" s="16" t="str">
        <f aca="true">IF(E9="","",IF(E9&lt;TODAY()-WEEKDAY(TODAY(),3),"Overdue",IF(E9=TODAY()-WEEKDAY(TODAY(),3),"This week",IF(E9=TODAY()-WEEKDAY(TODAY(),3)+7,"Next week",""))))</f>
        <v/>
      </c>
      <c r="G9" s="9" t="str">
        <f aca="false">IFERROR(INDEX(Grades!$G:$G,MATCH(A9,Grades!$A:$A,0)),"")</f>
        <v>Strong</v>
      </c>
      <c r="H9" s="17" t="n">
        <v>46300</v>
      </c>
      <c r="J9" s="17" t="n">
        <v>46314</v>
      </c>
      <c r="K9" s="9" t="s">
        <v>55</v>
      </c>
      <c r="L9" s="9" t="s">
        <v>64</v>
      </c>
      <c r="M9" s="9" t="n">
        <v>2</v>
      </c>
    </row>
    <row r="10" customFormat="false" ht="15" hidden="false" customHeight="true" outlineLevel="0" collapsed="false">
      <c r="A10" s="14" t="s">
        <v>64</v>
      </c>
      <c r="B10" s="10" t="s">
        <v>187</v>
      </c>
      <c r="C10" s="9" t="n">
        <f aca="false">IF(B10="yes",13,26)</f>
        <v>26</v>
      </c>
      <c r="D10" s="9" t="str">
        <f aca="false">IFERROR(INDEX(Grades!$X:$X,MATCH(A10,Grades!$A:$A,0)),"")</f>
        <v>2026-10-05</v>
      </c>
      <c r="E10" s="17" t="n">
        <v>46314</v>
      </c>
      <c r="F10" s="16" t="str">
        <f aca="true">IF(E10="","",IF(E10&lt;TODAY()-WEEKDAY(TODAY(),3),"Overdue",IF(E10=TODAY()-WEEKDAY(TODAY(),3),"This week",IF(E10=TODAY()-WEEKDAY(TODAY(),3)+7,"Next week",""))))</f>
        <v/>
      </c>
      <c r="G10" s="9" t="str">
        <f aca="false">IFERROR(INDEX(Grades!$G:$G,MATCH(A10,Grades!$A:$A,0)),"")</f>
        <v>Average/Decent</v>
      </c>
      <c r="H10" s="17" t="n">
        <v>46300</v>
      </c>
      <c r="J10" s="17" t="n">
        <v>46321</v>
      </c>
      <c r="K10" s="9" t="s">
        <v>61</v>
      </c>
      <c r="L10" s="9" t="s">
        <v>74</v>
      </c>
      <c r="M10" s="9" t="n">
        <v>2</v>
      </c>
    </row>
    <row r="11" customFormat="false" ht="15" hidden="false" customHeight="true" outlineLevel="0" collapsed="false">
      <c r="A11" s="14" t="s">
        <v>67</v>
      </c>
      <c r="B11" s="10" t="s">
        <v>185</v>
      </c>
      <c r="C11" s="9" t="n">
        <f aca="false">IF(B11="yes",13,26)</f>
        <v>13</v>
      </c>
      <c r="D11" s="9" t="str">
        <f aca="false">IFERROR(INDEX(Grades!$X:$X,MATCH(A11,Grades!$A:$A,0)),"")</f>
        <v>2026-10-05</v>
      </c>
      <c r="E11" s="17" t="n">
        <v>46328</v>
      </c>
      <c r="F11" s="16" t="str">
        <f aca="true">IF(E11="","",IF(E11&lt;TODAY()-WEEKDAY(TODAY(),3),"Overdue",IF(E11=TODAY()-WEEKDAY(TODAY(),3),"This week",IF(E11=TODAY()-WEEKDAY(TODAY(),3)+7,"Next week",""))))</f>
        <v/>
      </c>
      <c r="G11" s="9" t="str">
        <f aca="false">IFERROR(INDEX(Grades!$G:$G,MATCH(A11,Grades!$A:$A,0)),"")</f>
        <v>Average/Decent</v>
      </c>
      <c r="H11" s="17" t="n">
        <v>46300</v>
      </c>
      <c r="J11" s="17" t="n">
        <v>46328</v>
      </c>
      <c r="K11" s="9" t="s">
        <v>67</v>
      </c>
      <c r="L11" s="9" t="s">
        <v>77</v>
      </c>
      <c r="M11" s="9" t="n">
        <v>2</v>
      </c>
    </row>
    <row r="12" customFormat="false" ht="15" hidden="false" customHeight="true" outlineLevel="0" collapsed="false">
      <c r="A12" s="14" t="s">
        <v>70</v>
      </c>
      <c r="B12" s="10" t="s">
        <v>185</v>
      </c>
      <c r="C12" s="9" t="n">
        <f aca="false">IF(B12="yes",13,26)</f>
        <v>13</v>
      </c>
      <c r="D12" s="9" t="str">
        <f aca="false">IFERROR(INDEX(Grades!$X:$X,MATCH(A12,Grades!$A:$A,0)),"")</f>
        <v>2026-10-05</v>
      </c>
      <c r="E12" s="17" t="n">
        <v>46335</v>
      </c>
      <c r="F12" s="16" t="str">
        <f aca="true">IF(E12="","",IF(E12&lt;TODAY()-WEEKDAY(TODAY(),3),"Overdue",IF(E12=TODAY()-WEEKDAY(TODAY(),3),"This week",IF(E12=TODAY()-WEEKDAY(TODAY(),3)+7,"Next week",""))))</f>
        <v/>
      </c>
      <c r="G12" s="9" t="str">
        <f aca="false">IFERROR(INDEX(Grades!$G:$G,MATCH(A12,Grades!$A:$A,0)),"")</f>
        <v>Strong</v>
      </c>
      <c r="H12" s="17" t="n">
        <v>46300</v>
      </c>
      <c r="J12" s="17" t="n">
        <v>46335</v>
      </c>
      <c r="K12" s="9" t="s">
        <v>70</v>
      </c>
      <c r="L12" s="9" t="s">
        <v>83</v>
      </c>
      <c r="M12" s="9" t="n">
        <v>2</v>
      </c>
    </row>
    <row r="13" customFormat="false" ht="15" hidden="false" customHeight="true" outlineLevel="0" collapsed="false">
      <c r="A13" s="14" t="s">
        <v>74</v>
      </c>
      <c r="B13" s="10" t="s">
        <v>187</v>
      </c>
      <c r="C13" s="9" t="n">
        <f aca="false">IF(B13="yes",13,26)</f>
        <v>26</v>
      </c>
      <c r="D13" s="9" t="str">
        <f aca="false">IFERROR(INDEX(Grades!$X:$X,MATCH(A13,Grades!$A:$A,0)),"")</f>
        <v>2026-10-05</v>
      </c>
      <c r="E13" s="17" t="n">
        <v>46321</v>
      </c>
      <c r="F13" s="16" t="str">
        <f aca="true">IF(E13="","",IF(E13&lt;TODAY()-WEEKDAY(TODAY(),3),"Overdue",IF(E13=TODAY()-WEEKDAY(TODAY(),3),"This week",IF(E13=TODAY()-WEEKDAY(TODAY(),3)+7,"Next week",""))))</f>
        <v/>
      </c>
      <c r="G13" s="9" t="str">
        <f aca="false">IFERROR(INDEX(Grades!$G:$G,MATCH(A13,Grades!$A:$A,0)),"")</f>
        <v>Average/Decent</v>
      </c>
      <c r="H13" s="17" t="n">
        <v>46300</v>
      </c>
      <c r="J13" s="17" t="n">
        <v>46342</v>
      </c>
      <c r="K13" s="9" t="s">
        <v>80</v>
      </c>
      <c r="L13" s="9" t="s">
        <v>86</v>
      </c>
      <c r="M13" s="9" t="n">
        <v>2</v>
      </c>
    </row>
    <row r="14" customFormat="false" ht="15" hidden="false" customHeight="true" outlineLevel="0" collapsed="false">
      <c r="A14" s="14" t="s">
        <v>77</v>
      </c>
      <c r="B14" s="10" t="s">
        <v>187</v>
      </c>
      <c r="C14" s="9" t="n">
        <f aca="false">IF(B14="yes",13,26)</f>
        <v>26</v>
      </c>
      <c r="D14" s="9" t="str">
        <f aca="false">IFERROR(INDEX(Grades!$X:$X,MATCH(A14,Grades!$A:$A,0)),"")</f>
        <v>2026-10-05</v>
      </c>
      <c r="E14" s="17" t="n">
        <v>46328</v>
      </c>
      <c r="F14" s="16" t="str">
        <f aca="true">IF(E14="","",IF(E14&lt;TODAY()-WEEKDAY(TODAY(),3),"Overdue",IF(E14=TODAY()-WEEKDAY(TODAY(),3),"This week",IF(E14=TODAY()-WEEKDAY(TODAY(),3)+7,"Next week",""))))</f>
        <v/>
      </c>
      <c r="G14" s="9" t="str">
        <f aca="false">IFERROR(INDEX(Grades!$G:$G,MATCH(A14,Grades!$A:$A,0)),"")</f>
        <v>Strong</v>
      </c>
      <c r="H14" s="17" t="n">
        <v>46300</v>
      </c>
      <c r="J14" s="17" t="n">
        <v>46349</v>
      </c>
      <c r="K14" s="9" t="s">
        <v>114</v>
      </c>
      <c r="L14" s="9" t="s">
        <v>88</v>
      </c>
      <c r="M14" s="9" t="n">
        <v>2</v>
      </c>
    </row>
    <row r="15" customFormat="false" ht="15" hidden="false" customHeight="true" outlineLevel="0" collapsed="false">
      <c r="A15" s="14" t="s">
        <v>80</v>
      </c>
      <c r="B15" s="10" t="s">
        <v>185</v>
      </c>
      <c r="C15" s="9" t="n">
        <f aca="false">IF(B15="yes",13,26)</f>
        <v>13</v>
      </c>
      <c r="D15" s="9" t="str">
        <f aca="false">IFERROR(INDEX(Grades!$X:$X,MATCH(A15,Grades!$A:$A,0)),"")</f>
        <v>2026-10-05</v>
      </c>
      <c r="E15" s="17" t="n">
        <v>46342</v>
      </c>
      <c r="F15" s="16" t="str">
        <f aca="true">IF(E15="","",IF(E15&lt;TODAY()-WEEKDAY(TODAY(),3),"Overdue",IF(E15=TODAY()-WEEKDAY(TODAY(),3),"This week",IF(E15=TODAY()-WEEKDAY(TODAY(),3)+7,"Next week",""))))</f>
        <v/>
      </c>
      <c r="G15" s="9" t="str">
        <f aca="false">IFERROR(INDEX(Grades!$G:$G,MATCH(A15,Grades!$A:$A,0)),"")</f>
        <v>Average/Decent</v>
      </c>
      <c r="H15" s="17" t="n">
        <v>46300</v>
      </c>
      <c r="J15" s="17" t="n">
        <v>46356</v>
      </c>
      <c r="K15" s="9" t="s">
        <v>117</v>
      </c>
      <c r="L15" s="9" t="s">
        <v>91</v>
      </c>
      <c r="M15" s="9" t="n">
        <v>2</v>
      </c>
    </row>
    <row r="16" customFormat="false" ht="15" hidden="false" customHeight="true" outlineLevel="0" collapsed="false">
      <c r="A16" s="14" t="s">
        <v>83</v>
      </c>
      <c r="B16" s="10" t="s">
        <v>187</v>
      </c>
      <c r="C16" s="9" t="n">
        <f aca="false">IF(B16="yes",13,26)</f>
        <v>26</v>
      </c>
      <c r="D16" s="9" t="str">
        <f aca="false">IFERROR(INDEX(Grades!$X:$X,MATCH(A16,Grades!$A:$A,0)),"")</f>
        <v>2026-10-05</v>
      </c>
      <c r="E16" s="17" t="n">
        <v>46335</v>
      </c>
      <c r="F16" s="16" t="str">
        <f aca="true">IF(E16="","",IF(E16&lt;TODAY()-WEEKDAY(TODAY(),3),"Overdue",IF(E16=TODAY()-WEEKDAY(TODAY(),3),"This week",IF(E16=TODAY()-WEEKDAY(TODAY(),3)+7,"Next week",""))))</f>
        <v/>
      </c>
      <c r="G16" s="9" t="str">
        <f aca="false">IFERROR(INDEX(Grades!$G:$G,MATCH(A16,Grades!$A:$A,0)),"")</f>
        <v>Average/Decent</v>
      </c>
      <c r="H16" s="17" t="n">
        <v>46300</v>
      </c>
      <c r="J16" s="17" t="n">
        <v>46363</v>
      </c>
      <c r="K16" s="9" t="s">
        <v>120</v>
      </c>
      <c r="L16" s="9" t="s">
        <v>94</v>
      </c>
      <c r="M16" s="9" t="n">
        <v>2</v>
      </c>
    </row>
    <row r="17" customFormat="false" ht="15" hidden="false" customHeight="true" outlineLevel="0" collapsed="false">
      <c r="A17" s="14" t="s">
        <v>86</v>
      </c>
      <c r="B17" s="10" t="s">
        <v>187</v>
      </c>
      <c r="C17" s="9" t="n">
        <f aca="false">IF(B17="yes",13,26)</f>
        <v>26</v>
      </c>
      <c r="D17" s="9" t="str">
        <f aca="false">IFERROR(INDEX(Grades!$X:$X,MATCH(A17,Grades!$A:$A,0)),"")</f>
        <v>2026-10-05</v>
      </c>
      <c r="E17" s="17" t="n">
        <v>46342</v>
      </c>
      <c r="F17" s="16" t="str">
        <f aca="true">IF(E17="","",IF(E17&lt;TODAY()-WEEKDAY(TODAY(),3),"Overdue",IF(E17=TODAY()-WEEKDAY(TODAY(),3),"This week",IF(E17=TODAY()-WEEKDAY(TODAY(),3)+7,"Next week",""))))</f>
        <v/>
      </c>
      <c r="G17" s="9" t="str">
        <f aca="false">IFERROR(INDEX(Grades!$G:$G,MATCH(A17,Grades!$A:$A,0)),"")</f>
        <v>Average/Decent</v>
      </c>
      <c r="H17" s="17" t="n">
        <v>46300</v>
      </c>
      <c r="J17" s="17" t="n">
        <v>46370</v>
      </c>
      <c r="K17" s="9" t="s">
        <v>126</v>
      </c>
      <c r="L17" s="9" t="s">
        <v>97</v>
      </c>
      <c r="M17" s="9" t="n">
        <v>2</v>
      </c>
    </row>
    <row r="18" customFormat="false" ht="15" hidden="false" customHeight="true" outlineLevel="0" collapsed="false">
      <c r="A18" s="14" t="s">
        <v>88</v>
      </c>
      <c r="B18" s="10" t="s">
        <v>187</v>
      </c>
      <c r="C18" s="9" t="n">
        <f aca="false">IF(B18="yes",13,26)</f>
        <v>26</v>
      </c>
      <c r="D18" s="9" t="str">
        <f aca="false">IFERROR(INDEX(Grades!$X:$X,MATCH(A18,Grades!$A:$A,0)),"")</f>
        <v>2026-10-05</v>
      </c>
      <c r="E18" s="17" t="n">
        <v>46349</v>
      </c>
      <c r="F18" s="16" t="str">
        <f aca="true">IF(E18="","",IF(E18&lt;TODAY()-WEEKDAY(TODAY(),3),"Overdue",IF(E18=TODAY()-WEEKDAY(TODAY(),3),"This week",IF(E18=TODAY()-WEEKDAY(TODAY(),3)+7,"Next week",""))))</f>
        <v/>
      </c>
      <c r="G18" s="9" t="str">
        <f aca="false">IFERROR(INDEX(Grades!$G:$G,MATCH(A18,Grades!$A:$A,0)),"")</f>
        <v>Strong</v>
      </c>
      <c r="H18" s="17" t="n">
        <v>46300</v>
      </c>
      <c r="J18" s="17" t="n">
        <v>46377</v>
      </c>
      <c r="K18" s="9" t="s">
        <v>150</v>
      </c>
      <c r="L18" s="9" t="s">
        <v>100</v>
      </c>
      <c r="M18" s="9" t="n">
        <v>2</v>
      </c>
    </row>
    <row r="19" customFormat="false" ht="15" hidden="false" customHeight="true" outlineLevel="0" collapsed="false">
      <c r="A19" s="14" t="s">
        <v>91</v>
      </c>
      <c r="B19" s="10" t="s">
        <v>187</v>
      </c>
      <c r="C19" s="9" t="n">
        <f aca="false">IF(B19="yes",13,26)</f>
        <v>26</v>
      </c>
      <c r="D19" s="9" t="str">
        <f aca="false">IFERROR(INDEX(Grades!$X:$X,MATCH(A19,Grades!$A:$A,0)),"")</f>
        <v>2026-10-05</v>
      </c>
      <c r="E19" s="17" t="n">
        <v>46356</v>
      </c>
      <c r="F19" s="16" t="str">
        <f aca="true">IF(E19="","",IF(E19&lt;TODAY()-WEEKDAY(TODAY(),3),"Overdue",IF(E19=TODAY()-WEEKDAY(TODAY(),3),"This week",IF(E19=TODAY()-WEEKDAY(TODAY(),3)+7,"Next week",""))))</f>
        <v/>
      </c>
      <c r="G19" s="9" t="str">
        <f aca="false">IFERROR(INDEX(Grades!$G:$G,MATCH(A19,Grades!$A:$A,0)),"")</f>
        <v>Average/Decent</v>
      </c>
      <c r="H19" s="17" t="n">
        <v>46300</v>
      </c>
      <c r="J19" s="17" t="n">
        <v>46384</v>
      </c>
      <c r="K19" s="9" t="s">
        <v>153</v>
      </c>
      <c r="L19" s="9" t="s">
        <v>104</v>
      </c>
      <c r="M19" s="9" t="n">
        <v>2</v>
      </c>
    </row>
    <row r="20" customFormat="false" ht="15" hidden="false" customHeight="true" outlineLevel="0" collapsed="false">
      <c r="A20" s="14" t="s">
        <v>94</v>
      </c>
      <c r="B20" s="10" t="s">
        <v>187</v>
      </c>
      <c r="C20" s="9" t="n">
        <f aca="false">IF(B20="yes",13,26)</f>
        <v>26</v>
      </c>
      <c r="D20" s="9" t="str">
        <f aca="false">IFERROR(INDEX(Grades!$X:$X,MATCH(A20,Grades!$A:$A,0)),"")</f>
        <v>2026-10-05</v>
      </c>
      <c r="E20" s="17" t="n">
        <v>46363</v>
      </c>
      <c r="F20" s="16" t="str">
        <f aca="true">IF(E20="","",IF(E20&lt;TODAY()-WEEKDAY(TODAY(),3),"Overdue",IF(E20=TODAY()-WEEKDAY(TODAY(),3),"This week",IF(E20=TODAY()-WEEKDAY(TODAY(),3)+7,"Next week",""))))</f>
        <v/>
      </c>
      <c r="G20" s="9" t="str">
        <f aca="false">IFERROR(INDEX(Grades!$G:$G,MATCH(A20,Grades!$A:$A,0)),"")</f>
        <v>Strong</v>
      </c>
      <c r="H20" s="17" t="n">
        <v>46300</v>
      </c>
      <c r="J20" s="17" t="n">
        <v>46391</v>
      </c>
      <c r="K20" s="9" t="s">
        <v>162</v>
      </c>
      <c r="L20" s="9" t="s">
        <v>107</v>
      </c>
      <c r="M20" s="9" t="n">
        <v>2</v>
      </c>
    </row>
    <row r="21" customFormat="false" ht="15" hidden="false" customHeight="true" outlineLevel="0" collapsed="false">
      <c r="A21" s="14" t="s">
        <v>97</v>
      </c>
      <c r="B21" s="10" t="s">
        <v>187</v>
      </c>
      <c r="C21" s="9" t="n">
        <f aca="false">IF(B21="yes",13,26)</f>
        <v>26</v>
      </c>
      <c r="D21" s="9" t="str">
        <f aca="false">IFERROR(INDEX(Grades!$X:$X,MATCH(A21,Grades!$A:$A,0)),"")</f>
        <v>2026-10-05</v>
      </c>
      <c r="E21" s="17" t="n">
        <v>46370</v>
      </c>
      <c r="F21" s="16" t="str">
        <f aca="true">IF(E21="","",IF(E21&lt;TODAY()-WEEKDAY(TODAY(),3),"Overdue",IF(E21=TODAY()-WEEKDAY(TODAY(),3),"This week",IF(E21=TODAY()-WEEKDAY(TODAY(),3)+7,"Next week",""))))</f>
        <v/>
      </c>
      <c r="G21" s="9" t="str">
        <f aca="false">IFERROR(INDEX(Grades!$G:$G,MATCH(A21,Grades!$A:$A,0)),"")</f>
        <v>Average/Decent</v>
      </c>
      <c r="H21" s="17" t="n">
        <v>46300</v>
      </c>
      <c r="J21" s="17" t="n">
        <v>46398</v>
      </c>
      <c r="K21" s="9" t="s">
        <v>186</v>
      </c>
      <c r="L21" s="9"/>
      <c r="M21" s="9" t="n">
        <v>2</v>
      </c>
    </row>
    <row r="22" customFormat="false" ht="15" hidden="false" customHeight="true" outlineLevel="0" collapsed="false">
      <c r="A22" s="14" t="s">
        <v>100</v>
      </c>
      <c r="B22" s="10" t="s">
        <v>187</v>
      </c>
      <c r="C22" s="9" t="n">
        <f aca="false">IF(B22="yes",13,26)</f>
        <v>26</v>
      </c>
      <c r="D22" s="9" t="str">
        <f aca="false">IFERROR(INDEX(Grades!$X:$X,MATCH(A22,Grades!$A:$A,0)),"")</f>
        <v>2026-10-05</v>
      </c>
      <c r="E22" s="17" t="n">
        <v>46377</v>
      </c>
      <c r="F22" s="16" t="str">
        <f aca="true">IF(E22="","",IF(E22&lt;TODAY()-WEEKDAY(TODAY(),3),"Overdue",IF(E22=TODAY()-WEEKDAY(TODAY(),3),"This week",IF(E22=TODAY()-WEEKDAY(TODAY(),3)+7,"Next week",""))))</f>
        <v/>
      </c>
      <c r="G22" s="9" t="str">
        <f aca="false">IFERROR(INDEX(Grades!$G:$G,MATCH(A22,Grades!$A:$A,0)),"")</f>
        <v>Average/Decent</v>
      </c>
      <c r="H22" s="17" t="n">
        <v>46300</v>
      </c>
      <c r="J22" s="17" t="n">
        <v>46405</v>
      </c>
      <c r="K22" s="9" t="s">
        <v>55</v>
      </c>
      <c r="L22" s="9" t="s">
        <v>111</v>
      </c>
      <c r="M22" s="9" t="n">
        <v>2</v>
      </c>
    </row>
    <row r="23" customFormat="false" ht="15" hidden="false" customHeight="true" outlineLevel="0" collapsed="false">
      <c r="A23" s="14" t="s">
        <v>104</v>
      </c>
      <c r="B23" s="10" t="s">
        <v>187</v>
      </c>
      <c r="C23" s="9" t="n">
        <f aca="false">IF(B23="yes",13,26)</f>
        <v>26</v>
      </c>
      <c r="D23" s="9" t="str">
        <f aca="false">IFERROR(INDEX(Grades!$X:$X,MATCH(A23,Grades!$A:$A,0)),"")</f>
        <v>2026-10-05</v>
      </c>
      <c r="E23" s="17" t="n">
        <v>46384</v>
      </c>
      <c r="F23" s="16" t="str">
        <f aca="true">IF(E23="","",IF(E23&lt;TODAY()-WEEKDAY(TODAY(),3),"Overdue",IF(E23=TODAY()-WEEKDAY(TODAY(),3),"This week",IF(E23=TODAY()-WEEKDAY(TODAY(),3)+7,"Next week",""))))</f>
        <v/>
      </c>
      <c r="G23" s="9" t="str">
        <f aca="false">IFERROR(INDEX(Grades!$G:$G,MATCH(A23,Grades!$A:$A,0)),"")</f>
        <v>Average/Decent</v>
      </c>
      <c r="H23" s="17" t="n">
        <v>46300</v>
      </c>
      <c r="J23" s="17" t="n">
        <v>46412</v>
      </c>
      <c r="K23" s="9" t="s">
        <v>61</v>
      </c>
      <c r="L23" s="9" t="s">
        <v>123</v>
      </c>
      <c r="M23" s="9" t="n">
        <v>2</v>
      </c>
    </row>
    <row r="24" customFormat="false" ht="15" hidden="false" customHeight="true" outlineLevel="0" collapsed="false">
      <c r="A24" s="14" t="s">
        <v>107</v>
      </c>
      <c r="B24" s="10" t="s">
        <v>187</v>
      </c>
      <c r="C24" s="9" t="n">
        <f aca="false">IF(B24="yes",13,26)</f>
        <v>26</v>
      </c>
      <c r="D24" s="9" t="str">
        <f aca="false">IFERROR(INDEX(Grades!$X:$X,MATCH(A24,Grades!$A:$A,0)),"")</f>
        <v>2026-10-05</v>
      </c>
      <c r="E24" s="17" t="n">
        <v>46391</v>
      </c>
      <c r="F24" s="16" t="str">
        <f aca="true">IF(E24="","",IF(E24&lt;TODAY()-WEEKDAY(TODAY(),3),"Overdue",IF(E24=TODAY()-WEEKDAY(TODAY(),3),"This week",IF(E24=TODAY()-WEEKDAY(TODAY(),3)+7,"Next week",""))))</f>
        <v/>
      </c>
      <c r="G24" s="9" t="str">
        <f aca="false">IFERROR(INDEX(Grades!$G:$G,MATCH(A24,Grades!$A:$A,0)),"")</f>
        <v>Strong</v>
      </c>
      <c r="H24" s="17" t="n">
        <v>46300</v>
      </c>
      <c r="J24" s="17" t="n">
        <v>46419</v>
      </c>
      <c r="K24" s="9" t="s">
        <v>67</v>
      </c>
      <c r="L24" s="9" t="s">
        <v>129</v>
      </c>
      <c r="M24" s="9" t="n">
        <v>2</v>
      </c>
    </row>
    <row r="25" customFormat="false" ht="15" hidden="false" customHeight="true" outlineLevel="0" collapsed="false">
      <c r="A25" s="14" t="s">
        <v>111</v>
      </c>
      <c r="B25" s="10" t="s">
        <v>187</v>
      </c>
      <c r="C25" s="9" t="n">
        <f aca="false">IF(B25="yes",13,26)</f>
        <v>26</v>
      </c>
      <c r="D25" s="9" t="str">
        <f aca="false">IFERROR(INDEX(Grades!$X:$X,MATCH(A25,Grades!$A:$A,0)),"")</f>
        <v>2026-10-05</v>
      </c>
      <c r="E25" s="17" t="n">
        <v>46405</v>
      </c>
      <c r="F25" s="16" t="str">
        <f aca="true">IF(E25="","",IF(E25&lt;TODAY()-WEEKDAY(TODAY(),3),"Overdue",IF(E25=TODAY()-WEEKDAY(TODAY(),3),"This week",IF(E25=TODAY()-WEEKDAY(TODAY(),3)+7,"Next week",""))))</f>
        <v/>
      </c>
      <c r="G25" s="9" t="str">
        <f aca="false">IFERROR(INDEX(Grades!$G:$G,MATCH(A25,Grades!$A:$A,0)),"")</f>
        <v>Average/Decent</v>
      </c>
      <c r="H25" s="17" t="n">
        <v>46300</v>
      </c>
      <c r="J25" s="17" t="n">
        <v>46426</v>
      </c>
      <c r="K25" s="9" t="s">
        <v>70</v>
      </c>
      <c r="L25" s="9" t="s">
        <v>132</v>
      </c>
      <c r="M25" s="9" t="n">
        <v>2</v>
      </c>
    </row>
    <row r="26" customFormat="false" ht="15" hidden="false" customHeight="true" outlineLevel="0" collapsed="false">
      <c r="A26" s="14" t="s">
        <v>114</v>
      </c>
      <c r="B26" s="10" t="s">
        <v>185</v>
      </c>
      <c r="C26" s="9" t="n">
        <f aca="false">IF(B26="yes",13,26)</f>
        <v>13</v>
      </c>
      <c r="D26" s="9" t="str">
        <f aca="false">IFERROR(INDEX(Grades!$X:$X,MATCH(A26,Grades!$A:$A,0)),"")</f>
        <v>2026-10-05</v>
      </c>
      <c r="E26" s="17" t="n">
        <v>46349</v>
      </c>
      <c r="F26" s="16" t="str">
        <f aca="true">IF(E26="","",IF(E26&lt;TODAY()-WEEKDAY(TODAY(),3),"Overdue",IF(E26=TODAY()-WEEKDAY(TODAY(),3),"This week",IF(E26=TODAY()-WEEKDAY(TODAY(),3)+7,"Next week",""))))</f>
        <v/>
      </c>
      <c r="G26" s="9" t="str">
        <f aca="false">IFERROR(INDEX(Grades!$G:$G,MATCH(A26,Grades!$A:$A,0)),"")</f>
        <v>Strong</v>
      </c>
      <c r="H26" s="17" t="n">
        <v>46300</v>
      </c>
      <c r="J26" s="17" t="n">
        <v>46433</v>
      </c>
      <c r="K26" s="9" t="s">
        <v>80</v>
      </c>
      <c r="L26" s="9" t="s">
        <v>135</v>
      </c>
      <c r="M26" s="9" t="n">
        <v>2</v>
      </c>
    </row>
    <row r="27" customFormat="false" ht="15" hidden="false" customHeight="true" outlineLevel="0" collapsed="false">
      <c r="A27" s="14" t="s">
        <v>117</v>
      </c>
      <c r="B27" s="10" t="s">
        <v>185</v>
      </c>
      <c r="C27" s="9" t="n">
        <f aca="false">IF(B27="yes",13,26)</f>
        <v>13</v>
      </c>
      <c r="D27" s="9" t="str">
        <f aca="false">IFERROR(INDEX(Grades!$X:$X,MATCH(A27,Grades!$A:$A,0)),"")</f>
        <v>2026-10-05</v>
      </c>
      <c r="E27" s="17" t="n">
        <v>46356</v>
      </c>
      <c r="F27" s="16" t="str">
        <f aca="true">IF(E27="","",IF(E27&lt;TODAY()-WEEKDAY(TODAY(),3),"Overdue",IF(E27=TODAY()-WEEKDAY(TODAY(),3),"This week",IF(E27=TODAY()-WEEKDAY(TODAY(),3)+7,"Next week",""))))</f>
        <v/>
      </c>
      <c r="G27" s="9" t="str">
        <f aca="false">IFERROR(INDEX(Grades!$G:$G,MATCH(A27,Grades!$A:$A,0)),"")</f>
        <v>Average/Decent</v>
      </c>
      <c r="H27" s="17" t="n">
        <v>46300</v>
      </c>
      <c r="J27" s="17" t="n">
        <v>46440</v>
      </c>
      <c r="K27" s="9" t="s">
        <v>114</v>
      </c>
      <c r="L27" s="9" t="s">
        <v>138</v>
      </c>
      <c r="M27" s="9" t="n">
        <v>2</v>
      </c>
    </row>
    <row r="28" customFormat="false" ht="15" hidden="false" customHeight="true" outlineLevel="0" collapsed="false">
      <c r="A28" s="14" t="s">
        <v>120</v>
      </c>
      <c r="B28" s="10" t="s">
        <v>185</v>
      </c>
      <c r="C28" s="9" t="n">
        <f aca="false">IF(B28="yes",13,26)</f>
        <v>13</v>
      </c>
      <c r="D28" s="9" t="str">
        <f aca="false">IFERROR(INDEX(Grades!$X:$X,MATCH(A28,Grades!$A:$A,0)),"")</f>
        <v>2026-10-05</v>
      </c>
      <c r="E28" s="17" t="n">
        <v>46363</v>
      </c>
      <c r="F28" s="16" t="str">
        <f aca="true">IF(E28="","",IF(E28&lt;TODAY()-WEEKDAY(TODAY(),3),"Overdue",IF(E28=TODAY()-WEEKDAY(TODAY(),3),"This week",IF(E28=TODAY()-WEEKDAY(TODAY(),3)+7,"Next week",""))))</f>
        <v/>
      </c>
      <c r="G28" s="9" t="str">
        <f aca="false">IFERROR(INDEX(Grades!$G:$G,MATCH(A28,Grades!$A:$A,0)),"")</f>
        <v>Strong</v>
      </c>
      <c r="H28" s="17" t="n">
        <v>46300</v>
      </c>
      <c r="J28" s="17" t="n">
        <v>46447</v>
      </c>
      <c r="K28" s="9" t="s">
        <v>117</v>
      </c>
      <c r="L28" s="9" t="s">
        <v>141</v>
      </c>
      <c r="M28" s="9" t="n">
        <v>2</v>
      </c>
    </row>
    <row r="29" customFormat="false" ht="15" hidden="false" customHeight="true" outlineLevel="0" collapsed="false">
      <c r="A29" s="14" t="s">
        <v>123</v>
      </c>
      <c r="B29" s="10" t="s">
        <v>187</v>
      </c>
      <c r="C29" s="9" t="n">
        <f aca="false">IF(B29="yes",13,26)</f>
        <v>26</v>
      </c>
      <c r="D29" s="9" t="str">
        <f aca="false">IFERROR(INDEX(Grades!$X:$X,MATCH(A29,Grades!$A:$A,0)),"")</f>
        <v>2026-10-05</v>
      </c>
      <c r="E29" s="17" t="n">
        <v>46412</v>
      </c>
      <c r="F29" s="16" t="str">
        <f aca="true">IF(E29="","",IF(E29&lt;TODAY()-WEEKDAY(TODAY(),3),"Overdue",IF(E29=TODAY()-WEEKDAY(TODAY(),3),"This week",IF(E29=TODAY()-WEEKDAY(TODAY(),3)+7,"Next week",""))))</f>
        <v/>
      </c>
      <c r="G29" s="9" t="str">
        <f aca="false">IFERROR(INDEX(Grades!$G:$G,MATCH(A29,Grades!$A:$A,0)),"")</f>
        <v>Weak</v>
      </c>
      <c r="H29" s="17" t="n">
        <v>46300</v>
      </c>
      <c r="J29" s="17" t="n">
        <v>46454</v>
      </c>
      <c r="K29" s="9" t="s">
        <v>120</v>
      </c>
      <c r="L29" s="9" t="s">
        <v>144</v>
      </c>
      <c r="M29" s="9" t="n">
        <v>2</v>
      </c>
    </row>
    <row r="30" customFormat="false" ht="15" hidden="false" customHeight="true" outlineLevel="0" collapsed="false">
      <c r="A30" s="14" t="s">
        <v>126</v>
      </c>
      <c r="B30" s="10" t="s">
        <v>185</v>
      </c>
      <c r="C30" s="9" t="n">
        <f aca="false">IF(B30="yes",13,26)</f>
        <v>13</v>
      </c>
      <c r="D30" s="9" t="str">
        <f aca="false">IFERROR(INDEX(Grades!$X:$X,MATCH(A30,Grades!$A:$A,0)),"")</f>
        <v>2026-10-05</v>
      </c>
      <c r="E30" s="17" t="n">
        <v>46370</v>
      </c>
      <c r="F30" s="16" t="str">
        <f aca="true">IF(E30="","",IF(E30&lt;TODAY()-WEEKDAY(TODAY(),3),"Overdue",IF(E30=TODAY()-WEEKDAY(TODAY(),3),"This week",IF(E30=TODAY()-WEEKDAY(TODAY(),3)+7,"Next week",""))))</f>
        <v/>
      </c>
      <c r="G30" s="9" t="str">
        <f aca="false">IFERROR(INDEX(Grades!$G:$G,MATCH(A30,Grades!$A:$A,0)),"")</f>
        <v>Strong</v>
      </c>
      <c r="H30" s="17" t="n">
        <v>46300</v>
      </c>
      <c r="J30" s="17" t="n">
        <v>46461</v>
      </c>
      <c r="K30" s="9" t="s">
        <v>126</v>
      </c>
      <c r="L30" s="9" t="s">
        <v>147</v>
      </c>
      <c r="M30" s="9" t="n">
        <v>2</v>
      </c>
    </row>
    <row r="31" customFormat="false" ht="15" hidden="false" customHeight="true" outlineLevel="0" collapsed="false">
      <c r="A31" s="14" t="s">
        <v>129</v>
      </c>
      <c r="B31" s="10" t="s">
        <v>187</v>
      </c>
      <c r="C31" s="9" t="n">
        <f aca="false">IF(B31="yes",13,26)</f>
        <v>26</v>
      </c>
      <c r="D31" s="9" t="str">
        <f aca="false">IFERROR(INDEX(Grades!$X:$X,MATCH(A31,Grades!$A:$A,0)),"")</f>
        <v>2026-10-05</v>
      </c>
      <c r="E31" s="17" t="n">
        <v>46419</v>
      </c>
      <c r="F31" s="16" t="str">
        <f aca="true">IF(E31="","",IF(E31&lt;TODAY()-WEEKDAY(TODAY(),3),"Overdue",IF(E31=TODAY()-WEEKDAY(TODAY(),3),"This week",IF(E31=TODAY()-WEEKDAY(TODAY(),3)+7,"Next week",""))))</f>
        <v/>
      </c>
      <c r="G31" s="9" t="str">
        <f aca="false">IFERROR(INDEX(Grades!$G:$G,MATCH(A31,Grades!$A:$A,0)),"")</f>
        <v>Weak</v>
      </c>
      <c r="H31" s="17" t="n">
        <v>46300</v>
      </c>
      <c r="J31" s="17" t="n">
        <v>46468</v>
      </c>
      <c r="K31" s="9" t="s">
        <v>150</v>
      </c>
      <c r="L31" s="9" t="s">
        <v>156</v>
      </c>
      <c r="M31" s="9" t="n">
        <v>2</v>
      </c>
    </row>
    <row r="32" customFormat="false" ht="15" hidden="false" customHeight="true" outlineLevel="0" collapsed="false">
      <c r="A32" s="14" t="s">
        <v>132</v>
      </c>
      <c r="B32" s="10" t="s">
        <v>187</v>
      </c>
      <c r="C32" s="9" t="n">
        <f aca="false">IF(B32="yes",13,26)</f>
        <v>26</v>
      </c>
      <c r="D32" s="9" t="str">
        <f aca="false">IFERROR(INDEX(Grades!$X:$X,MATCH(A32,Grades!$A:$A,0)),"")</f>
        <v>2026-10-05</v>
      </c>
      <c r="E32" s="17" t="n">
        <v>46426</v>
      </c>
      <c r="F32" s="16" t="str">
        <f aca="true">IF(E32="","",IF(E32&lt;TODAY()-WEEKDAY(TODAY(),3),"Overdue",IF(E32=TODAY()-WEEKDAY(TODAY(),3),"This week",IF(E32=TODAY()-WEEKDAY(TODAY(),3)+7,"Next week",""))))</f>
        <v/>
      </c>
      <c r="G32" s="9" t="str">
        <f aca="false">IFERROR(INDEX(Grades!$G:$G,MATCH(A32,Grades!$A:$A,0)),"")</f>
        <v>Average/Decent</v>
      </c>
      <c r="H32" s="17" t="n">
        <v>46300</v>
      </c>
      <c r="J32" s="17" t="n">
        <v>46475</v>
      </c>
      <c r="K32" s="9" t="s">
        <v>153</v>
      </c>
      <c r="L32" s="9" t="s">
        <v>159</v>
      </c>
      <c r="M32" s="9" t="n">
        <v>2</v>
      </c>
    </row>
    <row r="33" customFormat="false" ht="15" hidden="false" customHeight="true" outlineLevel="0" collapsed="false">
      <c r="A33" s="14" t="s">
        <v>135</v>
      </c>
      <c r="B33" s="10" t="s">
        <v>187</v>
      </c>
      <c r="C33" s="9" t="n">
        <f aca="false">IF(B33="yes",13,26)</f>
        <v>26</v>
      </c>
      <c r="D33" s="9" t="str">
        <f aca="false">IFERROR(INDEX(Grades!$X:$X,MATCH(A33,Grades!$A:$A,0)),"")</f>
        <v>2026-10-05</v>
      </c>
      <c r="E33" s="17" t="n">
        <v>46433</v>
      </c>
      <c r="F33" s="16" t="str">
        <f aca="true">IF(E33="","",IF(E33&lt;TODAY()-WEEKDAY(TODAY(),3),"Overdue",IF(E33=TODAY()-WEEKDAY(TODAY(),3),"This week",IF(E33=TODAY()-WEEKDAY(TODAY(),3)+7,"Next week",""))))</f>
        <v/>
      </c>
      <c r="G33" s="9" t="str">
        <f aca="false">IFERROR(INDEX(Grades!$G:$G,MATCH(A33,Grades!$A:$A,0)),"")</f>
        <v>Weak</v>
      </c>
      <c r="H33" s="17" t="n">
        <v>46300</v>
      </c>
      <c r="J33" s="17" t="n">
        <v>46482</v>
      </c>
      <c r="K33" s="9" t="s">
        <v>162</v>
      </c>
      <c r="L33" s="9" t="s">
        <v>169</v>
      </c>
      <c r="M33" s="9" t="n">
        <v>2</v>
      </c>
    </row>
    <row r="34" customFormat="false" ht="15" hidden="false" customHeight="true" outlineLevel="0" collapsed="false">
      <c r="A34" s="14" t="s">
        <v>138</v>
      </c>
      <c r="B34" s="10" t="s">
        <v>187</v>
      </c>
      <c r="C34" s="9" t="n">
        <f aca="false">IF(B34="yes",13,26)</f>
        <v>26</v>
      </c>
      <c r="D34" s="9" t="str">
        <f aca="false">IFERROR(INDEX(Grades!$X:$X,MATCH(A34,Grades!$A:$A,0)),"")</f>
        <v>2026-10-05</v>
      </c>
      <c r="E34" s="17" t="n">
        <v>46440</v>
      </c>
      <c r="F34" s="16" t="str">
        <f aca="true">IF(E34="","",IF(E34&lt;TODAY()-WEEKDAY(TODAY(),3),"Overdue",IF(E34=TODAY()-WEEKDAY(TODAY(),3),"This week",IF(E34=TODAY()-WEEKDAY(TODAY(),3)+7,"Next week",""))))</f>
        <v/>
      </c>
      <c r="G34" s="9" t="str">
        <f aca="false">IFERROR(INDEX(Grades!$G:$G,MATCH(A34,Grades!$A:$A,0)),"")</f>
        <v>Average/Decent</v>
      </c>
      <c r="H34" s="17" t="n">
        <v>46300</v>
      </c>
      <c r="J34" s="17" t="n">
        <v>46489</v>
      </c>
      <c r="K34" s="9" t="s">
        <v>186</v>
      </c>
      <c r="L34" s="9"/>
      <c r="M34" s="9" t="n">
        <v>2</v>
      </c>
    </row>
    <row r="35" customFormat="false" ht="15" hidden="false" customHeight="true" outlineLevel="0" collapsed="false">
      <c r="A35" s="14" t="s">
        <v>141</v>
      </c>
      <c r="B35" s="10" t="s">
        <v>187</v>
      </c>
      <c r="C35" s="9" t="n">
        <f aca="false">IF(B35="yes",13,26)</f>
        <v>26</v>
      </c>
      <c r="D35" s="9" t="str">
        <f aca="false">IFERROR(INDEX(Grades!$X:$X,MATCH(A35,Grades!$A:$A,0)),"")</f>
        <v>2026-10-05</v>
      </c>
      <c r="E35" s="17" t="n">
        <v>46447</v>
      </c>
      <c r="F35" s="16" t="str">
        <f aca="true">IF(E35="","",IF(E35&lt;TODAY()-WEEKDAY(TODAY(),3),"Overdue",IF(E35=TODAY()-WEEKDAY(TODAY(),3),"This week",IF(E35=TODAY()-WEEKDAY(TODAY(),3)+7,"Next week",""))))</f>
        <v/>
      </c>
      <c r="G35" s="9" t="str">
        <f aca="false">IFERROR(INDEX(Grades!$G:$G,MATCH(A35,Grades!$A:$A,0)),"")</f>
        <v>Weak</v>
      </c>
      <c r="H35" s="17" t="n">
        <v>46300</v>
      </c>
      <c r="J35" s="17" t="n">
        <v>46496</v>
      </c>
      <c r="K35" s="9" t="s">
        <v>55</v>
      </c>
      <c r="L35" s="9" t="s">
        <v>64</v>
      </c>
      <c r="M35" s="9" t="n">
        <v>2</v>
      </c>
    </row>
    <row r="36" customFormat="false" ht="15" hidden="false" customHeight="true" outlineLevel="0" collapsed="false">
      <c r="A36" s="14" t="s">
        <v>144</v>
      </c>
      <c r="B36" s="10" t="s">
        <v>187</v>
      </c>
      <c r="C36" s="9" t="n">
        <f aca="false">IF(B36="yes",13,26)</f>
        <v>26</v>
      </c>
      <c r="D36" s="9" t="str">
        <f aca="false">IFERROR(INDEX(Grades!$X:$X,MATCH(A36,Grades!$A:$A,0)),"")</f>
        <v>2026-10-05</v>
      </c>
      <c r="E36" s="17" t="n">
        <v>46454</v>
      </c>
      <c r="F36" s="16" t="str">
        <f aca="true">IF(E36="","",IF(E36&lt;TODAY()-WEEKDAY(TODAY(),3),"Overdue",IF(E36=TODAY()-WEEKDAY(TODAY(),3),"This week",IF(E36=TODAY()-WEEKDAY(TODAY(),3)+7,"Next week",""))))</f>
        <v/>
      </c>
      <c r="G36" s="9" t="str">
        <f aca="false">IFERROR(INDEX(Grades!$G:$G,MATCH(A36,Grades!$A:$A,0)),"")</f>
        <v>Average/Decent</v>
      </c>
      <c r="H36" s="17" t="n">
        <v>46300</v>
      </c>
      <c r="J36" s="17" t="n">
        <v>46503</v>
      </c>
      <c r="K36" s="9" t="s">
        <v>61</v>
      </c>
      <c r="L36" s="9" t="s">
        <v>74</v>
      </c>
      <c r="M36" s="9" t="n">
        <v>2</v>
      </c>
    </row>
    <row r="37" customFormat="false" ht="15" hidden="false" customHeight="true" outlineLevel="0" collapsed="false">
      <c r="A37" s="14" t="s">
        <v>147</v>
      </c>
      <c r="B37" s="10" t="s">
        <v>187</v>
      </c>
      <c r="C37" s="9" t="n">
        <f aca="false">IF(B37="yes",13,26)</f>
        <v>26</v>
      </c>
      <c r="D37" s="9" t="str">
        <f aca="false">IFERROR(INDEX(Grades!$X:$X,MATCH(A37,Grades!$A:$A,0)),"")</f>
        <v>2026-10-05</v>
      </c>
      <c r="E37" s="17" t="n">
        <v>46461</v>
      </c>
      <c r="F37" s="16" t="str">
        <f aca="true">IF(E37="","",IF(E37&lt;TODAY()-WEEKDAY(TODAY(),3),"Overdue",IF(E37=TODAY()-WEEKDAY(TODAY(),3),"This week",IF(E37=TODAY()-WEEKDAY(TODAY(),3)+7,"Next week",""))))</f>
        <v/>
      </c>
      <c r="G37" s="9" t="str">
        <f aca="false">IFERROR(INDEX(Grades!$G:$G,MATCH(A37,Grades!$A:$A,0)),"")</f>
        <v>Weak</v>
      </c>
      <c r="H37" s="17" t="n">
        <v>46300</v>
      </c>
      <c r="J37" s="17" t="n">
        <v>46510</v>
      </c>
      <c r="K37" s="9" t="s">
        <v>67</v>
      </c>
      <c r="L37" s="9" t="s">
        <v>77</v>
      </c>
      <c r="M37" s="9" t="n">
        <v>2</v>
      </c>
    </row>
    <row r="38" customFormat="false" ht="15" hidden="false" customHeight="true" outlineLevel="0" collapsed="false">
      <c r="A38" s="14" t="s">
        <v>150</v>
      </c>
      <c r="B38" s="10" t="s">
        <v>185</v>
      </c>
      <c r="C38" s="9" t="n">
        <f aca="false">IF(B38="yes",13,26)</f>
        <v>13</v>
      </c>
      <c r="D38" s="9" t="str">
        <f aca="false">IFERROR(INDEX(Grades!$X:$X,MATCH(A38,Grades!$A:$A,0)),"")</f>
        <v>2026-10-05</v>
      </c>
      <c r="E38" s="17" t="n">
        <v>46377</v>
      </c>
      <c r="F38" s="16" t="str">
        <f aca="true">IF(E38="","",IF(E38&lt;TODAY()-WEEKDAY(TODAY(),3),"Overdue",IF(E38=TODAY()-WEEKDAY(TODAY(),3),"This week",IF(E38=TODAY()-WEEKDAY(TODAY(),3)+7,"Next week",""))))</f>
        <v/>
      </c>
      <c r="G38" s="9" t="str">
        <f aca="false">IFERROR(INDEX(Grades!$G:$G,MATCH(A38,Grades!$A:$A,0)),"")</f>
        <v>Strong</v>
      </c>
      <c r="H38" s="17" t="n">
        <v>46300</v>
      </c>
      <c r="J38" s="17" t="n">
        <v>46517</v>
      </c>
      <c r="K38" s="9" t="s">
        <v>70</v>
      </c>
      <c r="L38" s="9" t="s">
        <v>83</v>
      </c>
      <c r="M38" s="9" t="n">
        <v>2</v>
      </c>
    </row>
    <row r="39" customFormat="false" ht="15" hidden="false" customHeight="true" outlineLevel="0" collapsed="false">
      <c r="A39" s="14" t="s">
        <v>153</v>
      </c>
      <c r="B39" s="10" t="s">
        <v>185</v>
      </c>
      <c r="C39" s="9" t="n">
        <f aca="false">IF(B39="yes",13,26)</f>
        <v>13</v>
      </c>
      <c r="D39" s="9" t="str">
        <f aca="false">IFERROR(INDEX(Grades!$X:$X,MATCH(A39,Grades!$A:$A,0)),"")</f>
        <v>2026-10-05</v>
      </c>
      <c r="E39" s="17" t="n">
        <v>46384</v>
      </c>
      <c r="F39" s="16" t="str">
        <f aca="true">IF(E39="","",IF(E39&lt;TODAY()-WEEKDAY(TODAY(),3),"Overdue",IF(E39=TODAY()-WEEKDAY(TODAY(),3),"This week",IF(E39=TODAY()-WEEKDAY(TODAY(),3)+7,"Next week",""))))</f>
        <v/>
      </c>
      <c r="G39" s="9" t="str">
        <f aca="false">IFERROR(INDEX(Grades!$G:$G,MATCH(A39,Grades!$A:$A,0)),"")</f>
        <v>Average/Decent</v>
      </c>
      <c r="H39" s="17" t="n">
        <v>46300</v>
      </c>
      <c r="J39" s="17" t="n">
        <v>46524</v>
      </c>
      <c r="K39" s="9" t="s">
        <v>80</v>
      </c>
      <c r="L39" s="9" t="s">
        <v>86</v>
      </c>
      <c r="M39" s="9" t="n">
        <v>2</v>
      </c>
    </row>
    <row r="40" customFormat="false" ht="15" hidden="false" customHeight="true" outlineLevel="0" collapsed="false">
      <c r="A40" s="14" t="s">
        <v>156</v>
      </c>
      <c r="B40" s="10" t="s">
        <v>187</v>
      </c>
      <c r="C40" s="9" t="n">
        <f aca="false">IF(B40="yes",13,26)</f>
        <v>26</v>
      </c>
      <c r="D40" s="9" t="str">
        <f aca="false">IFERROR(INDEX(Grades!$X:$X,MATCH(A40,Grades!$A:$A,0)),"")</f>
        <v>2026-10-05</v>
      </c>
      <c r="E40" s="17" t="n">
        <v>46468</v>
      </c>
      <c r="F40" s="16" t="str">
        <f aca="true">IF(E40="","",IF(E40&lt;TODAY()-WEEKDAY(TODAY(),3),"Overdue",IF(E40=TODAY()-WEEKDAY(TODAY(),3),"This week",IF(E40=TODAY()-WEEKDAY(TODAY(),3)+7,"Next week",""))))</f>
        <v/>
      </c>
      <c r="G40" s="9" t="str">
        <f aca="false">IFERROR(INDEX(Grades!$G:$G,MATCH(A40,Grades!$A:$A,0)),"")</f>
        <v>Weak</v>
      </c>
      <c r="H40" s="17" t="n">
        <v>46300</v>
      </c>
      <c r="J40" s="17" t="n">
        <v>46531</v>
      </c>
      <c r="K40" s="9" t="s">
        <v>114</v>
      </c>
      <c r="L40" s="9" t="s">
        <v>88</v>
      </c>
      <c r="M40" s="9" t="n">
        <v>2</v>
      </c>
    </row>
    <row r="41" customFormat="false" ht="15" hidden="false" customHeight="true" outlineLevel="0" collapsed="false">
      <c r="A41" s="14" t="s">
        <v>159</v>
      </c>
      <c r="B41" s="10" t="s">
        <v>187</v>
      </c>
      <c r="C41" s="9" t="n">
        <f aca="false">IF(B41="yes",13,26)</f>
        <v>26</v>
      </c>
      <c r="D41" s="9" t="str">
        <f aca="false">IFERROR(INDEX(Grades!$X:$X,MATCH(A41,Grades!$A:$A,0)),"")</f>
        <v>2026-10-05</v>
      </c>
      <c r="E41" s="17" t="n">
        <v>46475</v>
      </c>
      <c r="F41" s="16" t="str">
        <f aca="true">IF(E41="","",IF(E41&lt;TODAY()-WEEKDAY(TODAY(),3),"Overdue",IF(E41=TODAY()-WEEKDAY(TODAY(),3),"This week",IF(E41=TODAY()-WEEKDAY(TODAY(),3)+7,"Next week",""))))</f>
        <v/>
      </c>
      <c r="G41" s="9" t="str">
        <f aca="false">IFERROR(INDEX(Grades!$G:$G,MATCH(A41,Grades!$A:$A,0)),"")</f>
        <v>Average/Decent</v>
      </c>
      <c r="H41" s="17" t="n">
        <v>46300</v>
      </c>
      <c r="J41" s="17" t="n">
        <v>46538</v>
      </c>
      <c r="K41" s="9" t="s">
        <v>117</v>
      </c>
      <c r="L41" s="9" t="s">
        <v>91</v>
      </c>
      <c r="M41" s="9" t="n">
        <v>2</v>
      </c>
    </row>
    <row r="42" customFormat="false" ht="15" hidden="false" customHeight="true" outlineLevel="0" collapsed="false">
      <c r="A42" s="14" t="s">
        <v>162</v>
      </c>
      <c r="B42" s="10" t="s">
        <v>185</v>
      </c>
      <c r="C42" s="9" t="n">
        <f aca="false">IF(B42="yes",13,26)</f>
        <v>13</v>
      </c>
      <c r="D42" s="9" t="str">
        <f aca="false">IFERROR(INDEX(Grades!$X:$X,MATCH(A42,Grades!$A:$A,0)),"")</f>
        <v>2026-10-06</v>
      </c>
      <c r="E42" s="17" t="n">
        <v>46391</v>
      </c>
      <c r="F42" s="16" t="str">
        <f aca="true">IF(E42="","",IF(E42&lt;TODAY()-WEEKDAY(TODAY(),3),"Overdue",IF(E42=TODAY()-WEEKDAY(TODAY(),3),"This week",IF(E42=TODAY()-WEEKDAY(TODAY(),3)+7,"Next week",""))))</f>
        <v/>
      </c>
      <c r="G42" s="9" t="str">
        <f aca="false">IFERROR(INDEX(Grades!$G:$G,MATCH(A42,Grades!$A:$A,0)),"")</f>
        <v>Strong</v>
      </c>
      <c r="H42" s="17" t="n">
        <v>46301</v>
      </c>
      <c r="J42" s="17" t="n">
        <v>46545</v>
      </c>
      <c r="K42" s="9" t="s">
        <v>120</v>
      </c>
      <c r="L42" s="9" t="s">
        <v>94</v>
      </c>
      <c r="M42" s="9" t="n">
        <v>2</v>
      </c>
    </row>
    <row r="43" customFormat="false" ht="15" hidden="false" customHeight="true" outlineLevel="0" collapsed="false">
      <c r="A43" s="14" t="s">
        <v>166</v>
      </c>
      <c r="B43" s="10" t="s">
        <v>185</v>
      </c>
      <c r="C43" s="9" t="n">
        <f aca="false">IF(B43="yes",13,26)</f>
        <v>13</v>
      </c>
      <c r="D43" s="9" t="str">
        <f aca="false">IFERROR(INDEX(Grades!$X:$X,MATCH(A43,Grades!$A:$A,0)),"")</f>
        <v>2026-10-06</v>
      </c>
      <c r="E43" s="17" t="n">
        <v>46307</v>
      </c>
      <c r="F43" s="16" t="str">
        <f aca="true">IF(E43="","",IF(E43&lt;TODAY()-WEEKDAY(TODAY(),3),"Overdue",IF(E43=TODAY()-WEEKDAY(TODAY(),3),"This week",IF(E43=TODAY()-WEEKDAY(TODAY(),3)+7,"Next week",""))))</f>
        <v>Next week</v>
      </c>
      <c r="G43" s="9" t="str">
        <f aca="false">IFERROR(INDEX(Grades!$G:$G,MATCH(A43,Grades!$A:$A,0)),"")</f>
        <v>Weak</v>
      </c>
      <c r="H43" s="17" t="n">
        <v>46301</v>
      </c>
      <c r="J43" s="17" t="n">
        <v>46552</v>
      </c>
      <c r="K43" s="9" t="s">
        <v>126</v>
      </c>
      <c r="L43" s="9" t="s">
        <v>97</v>
      </c>
      <c r="M43" s="9" t="n">
        <v>2</v>
      </c>
    </row>
    <row r="44" customFormat="false" ht="15" hidden="false" customHeight="true" outlineLevel="0" collapsed="false">
      <c r="A44" s="14" t="s">
        <v>169</v>
      </c>
      <c r="B44" s="10" t="s">
        <v>187</v>
      </c>
      <c r="C44" s="9" t="n">
        <f aca="false">IF(B44="yes",13,26)</f>
        <v>26</v>
      </c>
      <c r="D44" s="9" t="str">
        <f aca="false">IFERROR(INDEX(Grades!$X:$X,MATCH(A44,Grades!$A:$A,0)),"")</f>
        <v>2026-10-07</v>
      </c>
      <c r="E44" s="17" t="n">
        <v>46482</v>
      </c>
      <c r="F44" s="16" t="str">
        <f aca="true">IF(E44="","",IF(E44&lt;TODAY()-WEEKDAY(TODAY(),3),"Overdue",IF(E44=TODAY()-WEEKDAY(TODAY(),3),"This week",IF(E44=TODAY()-WEEKDAY(TODAY(),3)+7,"Next week",""))))</f>
        <v/>
      </c>
      <c r="G44" s="9" t="str">
        <f aca="false">IFERROR(INDEX(Grades!$G:$G,MATCH(A44,Grades!$A:$A,0)),"")</f>
        <v>Average/Decent</v>
      </c>
      <c r="H44" s="17" t="n">
        <v>46302</v>
      </c>
      <c r="J44" s="17" t="n">
        <v>46559</v>
      </c>
      <c r="K44" s="9" t="s">
        <v>150</v>
      </c>
      <c r="L44" s="9" t="s">
        <v>100</v>
      </c>
      <c r="M44" s="9" t="n">
        <v>2</v>
      </c>
    </row>
    <row r="45" customFormat="false" ht="15" hidden="false" customHeight="true" outlineLevel="0" collapsed="false">
      <c r="J45" s="17" t="n">
        <v>46566</v>
      </c>
      <c r="K45" s="9" t="s">
        <v>153</v>
      </c>
      <c r="L45" s="9" t="s">
        <v>104</v>
      </c>
      <c r="M45" s="9" t="n">
        <v>2</v>
      </c>
    </row>
    <row r="46" customFormat="false" ht="15" hidden="false" customHeight="true" outlineLevel="0" collapsed="false">
      <c r="J46" s="17" t="n">
        <v>46573</v>
      </c>
      <c r="K46" s="9" t="s">
        <v>162</v>
      </c>
      <c r="L46" s="9" t="s">
        <v>107</v>
      </c>
      <c r="M46" s="9" t="n">
        <v>2</v>
      </c>
    </row>
    <row r="47" customFormat="false" ht="15" hidden="false" customHeight="true" outlineLevel="0" collapsed="false">
      <c r="J47" s="17" t="n">
        <v>46580</v>
      </c>
      <c r="K47" s="9" t="s">
        <v>186</v>
      </c>
      <c r="L47" s="9"/>
      <c r="M47" s="9" t="n">
        <v>2</v>
      </c>
    </row>
    <row r="48" customFormat="false" ht="15" hidden="false" customHeight="true" outlineLevel="0" collapsed="false">
      <c r="J48" s="17" t="n">
        <v>46587</v>
      </c>
      <c r="K48" s="9" t="s">
        <v>55</v>
      </c>
      <c r="L48" s="9" t="s">
        <v>111</v>
      </c>
      <c r="M48" s="9" t="n">
        <v>2</v>
      </c>
    </row>
    <row r="49" customFormat="false" ht="15" hidden="false" customHeight="true" outlineLevel="0" collapsed="false">
      <c r="J49" s="17" t="n">
        <v>46594</v>
      </c>
      <c r="K49" s="9" t="s">
        <v>61</v>
      </c>
      <c r="L49" s="9" t="s">
        <v>123</v>
      </c>
      <c r="M49" s="9" t="n">
        <v>2</v>
      </c>
    </row>
    <row r="50" customFormat="false" ht="15" hidden="false" customHeight="true" outlineLevel="0" collapsed="false">
      <c r="J50" s="17" t="n">
        <v>46601</v>
      </c>
      <c r="K50" s="9" t="s">
        <v>67</v>
      </c>
      <c r="L50" s="9" t="s">
        <v>129</v>
      </c>
      <c r="M50" s="9" t="n">
        <v>2</v>
      </c>
    </row>
    <row r="51" customFormat="false" ht="15" hidden="false" customHeight="true" outlineLevel="0" collapsed="false">
      <c r="J51" s="17" t="n">
        <v>46608</v>
      </c>
      <c r="K51" s="9" t="s">
        <v>70</v>
      </c>
      <c r="L51" s="9" t="s">
        <v>132</v>
      </c>
      <c r="M51" s="9" t="n">
        <v>2</v>
      </c>
    </row>
    <row r="52" customFormat="false" ht="15" hidden="false" customHeight="true" outlineLevel="0" collapsed="false">
      <c r="J52" s="17" t="n">
        <v>46615</v>
      </c>
      <c r="K52" s="9" t="s">
        <v>80</v>
      </c>
      <c r="L52" s="9" t="s">
        <v>135</v>
      </c>
      <c r="M52" s="9" t="n">
        <v>2</v>
      </c>
    </row>
    <row r="53" customFormat="false" ht="15" hidden="false" customHeight="true" outlineLevel="0" collapsed="false">
      <c r="J53" s="17" t="n">
        <v>46622</v>
      </c>
      <c r="K53" s="9" t="s">
        <v>114</v>
      </c>
      <c r="L53" s="9" t="s">
        <v>138</v>
      </c>
      <c r="M53" s="9" t="n">
        <v>2</v>
      </c>
    </row>
    <row r="54" customFormat="false" ht="15" hidden="false" customHeight="true" outlineLevel="0" collapsed="false">
      <c r="J54" s="17" t="n">
        <v>46629</v>
      </c>
      <c r="K54" s="9" t="s">
        <v>117</v>
      </c>
      <c r="L54" s="9" t="s">
        <v>141</v>
      </c>
      <c r="M54" s="9" t="n">
        <v>2</v>
      </c>
    </row>
    <row r="55" customFormat="false" ht="15" hidden="false" customHeight="true" outlineLevel="0" collapsed="false">
      <c r="J55" s="17" t="n">
        <v>46636</v>
      </c>
      <c r="K55" s="9" t="s">
        <v>120</v>
      </c>
      <c r="L55" s="9" t="s">
        <v>144</v>
      </c>
      <c r="M55" s="9" t="n">
        <v>2</v>
      </c>
    </row>
    <row r="56" customFormat="false" ht="15" hidden="false" customHeight="true" outlineLevel="0" collapsed="false">
      <c r="J56" s="17" t="n">
        <v>46643</v>
      </c>
      <c r="K56" s="9" t="s">
        <v>126</v>
      </c>
      <c r="L56" s="9" t="s">
        <v>147</v>
      </c>
      <c r="M56" s="9" t="n">
        <v>2</v>
      </c>
    </row>
    <row r="57" customFormat="false" ht="15" hidden="false" customHeight="true" outlineLevel="0" collapsed="false">
      <c r="J57" s="17" t="n">
        <v>46650</v>
      </c>
      <c r="K57" s="9" t="s">
        <v>150</v>
      </c>
      <c r="L57" s="9" t="s">
        <v>156</v>
      </c>
      <c r="M57" s="9" t="n">
        <v>2</v>
      </c>
    </row>
    <row r="58" customFormat="false" ht="15" hidden="false" customHeight="true" outlineLevel="0" collapsed="false">
      <c r="J58" s="17" t="n">
        <v>46657</v>
      </c>
      <c r="K58" s="9" t="s">
        <v>153</v>
      </c>
      <c r="L58" s="9" t="s">
        <v>159</v>
      </c>
      <c r="M58" s="9" t="n">
        <v>2</v>
      </c>
    </row>
    <row r="59" customFormat="false" ht="15" hidden="false" customHeight="true" outlineLevel="0" collapsed="false">
      <c r="J59" s="17" t="n">
        <v>46664</v>
      </c>
      <c r="K59" s="9" t="s">
        <v>162</v>
      </c>
      <c r="L59" s="9" t="s">
        <v>169</v>
      </c>
      <c r="M59" s="9" t="n">
        <v>2</v>
      </c>
    </row>
  </sheetData>
  <conditionalFormatting sqref="F7:F44">
    <cfRule type="expression" priority="2" aboveAverage="0" equalAverage="0" bottom="0" percent="0" rank="0" text="" dxfId="5">
      <formula>$F7="Overdue"</formula>
    </cfRule>
    <cfRule type="expression" priority="3" aboveAverage="0" equalAverage="0" bottom="0" percent="0" rank="0" text="" dxfId="2">
      <formula>$F7="This week"</formula>
    </cfRule>
  </conditionalFormatting>
  <dataValidations count="1">
    <dataValidation allowBlank="false" errorStyle="stop" operator="between" showDropDown="false" showErrorMessage="false" showInputMessage="false" sqref="B7:B4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38"/>
    <col collapsed="false" customWidth="true" hidden="false" outlineLevel="0" max="4" min="4" style="1" width="7"/>
    <col collapsed="false" customWidth="true" hidden="false" outlineLevel="0" max="5" min="5" style="1" width="120"/>
  </cols>
  <sheetData>
    <row r="1" customFormat="false" ht="15" hidden="false" customHeight="true" outlineLevel="0" collapsed="false">
      <c r="A1" s="4" t="s">
        <v>188</v>
      </c>
    </row>
    <row r="3" customFormat="false" ht="15" hidden="false" customHeight="true" outlineLevel="0" collapsed="false">
      <c r="A3" s="7" t="s">
        <v>15</v>
      </c>
      <c r="B3" s="7" t="s">
        <v>189</v>
      </c>
      <c r="C3" s="7" t="s">
        <v>190</v>
      </c>
      <c r="D3" s="7" t="s">
        <v>191</v>
      </c>
      <c r="E3" s="7" t="s">
        <v>192</v>
      </c>
    </row>
    <row r="4" customFormat="false" ht="15" hidden="false" customHeight="true" outlineLevel="0" collapsed="false">
      <c r="A4" s="9" t="s">
        <v>46</v>
      </c>
      <c r="B4" s="18" t="s">
        <v>23</v>
      </c>
      <c r="C4" s="9" t="s">
        <v>193</v>
      </c>
      <c r="D4" s="18" t="s">
        <v>49</v>
      </c>
      <c r="E4" s="19" t="s">
        <v>194</v>
      </c>
    </row>
    <row r="5" customFormat="false" ht="23.25" hidden="false" customHeight="true" outlineLevel="0" collapsed="false">
      <c r="A5" s="9" t="s">
        <v>46</v>
      </c>
      <c r="B5" s="18" t="s">
        <v>24</v>
      </c>
      <c r="C5" s="9" t="s">
        <v>195</v>
      </c>
      <c r="D5" s="18" t="s">
        <v>49</v>
      </c>
      <c r="E5" s="19" t="s">
        <v>196</v>
      </c>
    </row>
    <row r="6" customFormat="false" ht="23.25" hidden="false" customHeight="true" outlineLevel="0" collapsed="false">
      <c r="A6" s="9" t="s">
        <v>46</v>
      </c>
      <c r="B6" s="18" t="s">
        <v>25</v>
      </c>
      <c r="C6" s="9" t="s">
        <v>197</v>
      </c>
      <c r="D6" s="18" t="s">
        <v>49</v>
      </c>
      <c r="E6" s="19" t="s">
        <v>198</v>
      </c>
    </row>
    <row r="7" customFormat="false" ht="15" hidden="false" customHeight="true" outlineLevel="0" collapsed="false">
      <c r="A7" s="9" t="s">
        <v>46</v>
      </c>
      <c r="B7" s="18" t="s">
        <v>26</v>
      </c>
      <c r="C7" s="9" t="s">
        <v>199</v>
      </c>
      <c r="D7" s="18" t="s">
        <v>50</v>
      </c>
      <c r="E7" s="19" t="s">
        <v>200</v>
      </c>
    </row>
    <row r="8" customFormat="false" ht="23.25" hidden="false" customHeight="true" outlineLevel="0" collapsed="false">
      <c r="A8" s="9" t="s">
        <v>46</v>
      </c>
      <c r="B8" s="18" t="s">
        <v>27</v>
      </c>
      <c r="C8" s="9" t="s">
        <v>201</v>
      </c>
      <c r="D8" s="18" t="s">
        <v>49</v>
      </c>
      <c r="E8" s="19" t="s">
        <v>202</v>
      </c>
    </row>
    <row r="9" customFormat="false" ht="23.25" hidden="false" customHeight="true" outlineLevel="0" collapsed="false">
      <c r="A9" s="9" t="s">
        <v>46</v>
      </c>
      <c r="B9" s="18" t="s">
        <v>28</v>
      </c>
      <c r="C9" s="9" t="s">
        <v>203</v>
      </c>
      <c r="D9" s="18" t="s">
        <v>51</v>
      </c>
      <c r="E9" s="19" t="s">
        <v>204</v>
      </c>
    </row>
    <row r="10" customFormat="false" ht="15" hidden="false" customHeight="true" outlineLevel="0" collapsed="false">
      <c r="A10" s="9" t="s">
        <v>46</v>
      </c>
      <c r="B10" s="18" t="s">
        <v>29</v>
      </c>
      <c r="C10" s="9" t="s">
        <v>205</v>
      </c>
      <c r="D10" s="18" t="s">
        <v>51</v>
      </c>
      <c r="E10" s="19" t="s">
        <v>206</v>
      </c>
    </row>
    <row r="11" customFormat="false" ht="90.75" hidden="false" customHeight="true" outlineLevel="0" collapsed="false">
      <c r="A11" s="9" t="s">
        <v>46</v>
      </c>
      <c r="B11" s="18" t="s">
        <v>30</v>
      </c>
      <c r="C11" s="9" t="s">
        <v>207</v>
      </c>
      <c r="D11" s="18" t="s">
        <v>49</v>
      </c>
      <c r="E11" s="19" t="s">
        <v>208</v>
      </c>
    </row>
    <row r="12" customFormat="false" ht="23.25" hidden="false" customHeight="true" outlineLevel="0" collapsed="false">
      <c r="A12" s="9" t="s">
        <v>46</v>
      </c>
      <c r="B12" s="18" t="s">
        <v>31</v>
      </c>
      <c r="C12" s="9" t="s">
        <v>209</v>
      </c>
      <c r="D12" s="18" t="s">
        <v>49</v>
      </c>
      <c r="E12" s="19" t="s">
        <v>210</v>
      </c>
    </row>
    <row r="13" customFormat="false" ht="15" hidden="false" customHeight="true" outlineLevel="0" collapsed="false">
      <c r="A13" s="9" t="s">
        <v>46</v>
      </c>
      <c r="B13" s="18" t="s">
        <v>32</v>
      </c>
      <c r="C13" s="9" t="s">
        <v>211</v>
      </c>
      <c r="D13" s="18" t="s">
        <v>49</v>
      </c>
      <c r="E13" s="19" t="s">
        <v>212</v>
      </c>
    </row>
    <row r="14" customFormat="false" ht="15" hidden="false" customHeight="true" outlineLevel="0" collapsed="false">
      <c r="A14" s="9" t="s">
        <v>46</v>
      </c>
      <c r="B14" s="18" t="s">
        <v>33</v>
      </c>
      <c r="C14" s="9" t="s">
        <v>213</v>
      </c>
      <c r="D14" s="18" t="s">
        <v>49</v>
      </c>
      <c r="E14" s="19" t="s">
        <v>214</v>
      </c>
    </row>
    <row r="15" customFormat="false" ht="15" hidden="false" customHeight="true" outlineLevel="0" collapsed="false">
      <c r="A15" s="9" t="s">
        <v>46</v>
      </c>
      <c r="B15" s="18" t="s">
        <v>34</v>
      </c>
      <c r="C15" s="9" t="s">
        <v>215</v>
      </c>
      <c r="D15" s="18" t="s">
        <v>50</v>
      </c>
      <c r="E15" s="19" t="s">
        <v>216</v>
      </c>
    </row>
    <row r="16" customFormat="false" ht="34.5" hidden="false" customHeight="true" outlineLevel="0" collapsed="false">
      <c r="A16" s="9" t="s">
        <v>46</v>
      </c>
      <c r="B16" s="18" t="s">
        <v>35</v>
      </c>
      <c r="C16" s="9" t="s">
        <v>217</v>
      </c>
      <c r="D16" s="18" t="s">
        <v>49</v>
      </c>
      <c r="E16" s="19" t="s">
        <v>218</v>
      </c>
    </row>
    <row r="17" customFormat="false" ht="15" hidden="false" customHeight="true" outlineLevel="0" collapsed="false">
      <c r="A17" s="9" t="s">
        <v>46</v>
      </c>
      <c r="B17" s="18" t="s">
        <v>36</v>
      </c>
      <c r="C17" s="9" t="s">
        <v>219</v>
      </c>
      <c r="D17" s="18" t="s">
        <v>49</v>
      </c>
      <c r="E17" s="19" t="s">
        <v>220</v>
      </c>
    </row>
    <row r="18" customFormat="false" ht="23.25" hidden="false" customHeight="true" outlineLevel="0" collapsed="false">
      <c r="A18" s="9" t="s">
        <v>46</v>
      </c>
      <c r="B18" s="18" t="s">
        <v>37</v>
      </c>
      <c r="C18" s="9" t="s">
        <v>221</v>
      </c>
      <c r="D18" s="18" t="s">
        <v>52</v>
      </c>
      <c r="E18" s="19" t="s">
        <v>222</v>
      </c>
    </row>
    <row r="19" customFormat="false" ht="23.25" hidden="false" customHeight="true" outlineLevel="0" collapsed="false">
      <c r="A19" s="9" t="s">
        <v>55</v>
      </c>
      <c r="B19" s="18" t="s">
        <v>23</v>
      </c>
      <c r="C19" s="9" t="s">
        <v>193</v>
      </c>
      <c r="D19" s="18" t="s">
        <v>49</v>
      </c>
      <c r="E19" s="19" t="s">
        <v>223</v>
      </c>
    </row>
    <row r="20" customFormat="false" ht="34.5" hidden="false" customHeight="true" outlineLevel="0" collapsed="false">
      <c r="A20" s="9" t="s">
        <v>55</v>
      </c>
      <c r="B20" s="18" t="s">
        <v>24</v>
      </c>
      <c r="C20" s="9" t="s">
        <v>195</v>
      </c>
      <c r="D20" s="18" t="s">
        <v>49</v>
      </c>
      <c r="E20" s="19" t="s">
        <v>224</v>
      </c>
    </row>
    <row r="21" customFormat="false" ht="45.75" hidden="false" customHeight="true" outlineLevel="0" collapsed="false">
      <c r="A21" s="9" t="s">
        <v>55</v>
      </c>
      <c r="B21" s="18" t="s">
        <v>25</v>
      </c>
      <c r="C21" s="9" t="s">
        <v>197</v>
      </c>
      <c r="D21" s="18" t="s">
        <v>49</v>
      </c>
      <c r="E21" s="19" t="s">
        <v>225</v>
      </c>
    </row>
    <row r="22" customFormat="false" ht="34.5" hidden="false" customHeight="true" outlineLevel="0" collapsed="false">
      <c r="A22" s="9" t="s">
        <v>55</v>
      </c>
      <c r="B22" s="18" t="s">
        <v>26</v>
      </c>
      <c r="C22" s="9" t="s">
        <v>199</v>
      </c>
      <c r="D22" s="18" t="s">
        <v>52</v>
      </c>
      <c r="E22" s="19" t="s">
        <v>226</v>
      </c>
    </row>
    <row r="23" customFormat="false" ht="34.5" hidden="false" customHeight="true" outlineLevel="0" collapsed="false">
      <c r="A23" s="9" t="s">
        <v>55</v>
      </c>
      <c r="B23" s="18" t="s">
        <v>27</v>
      </c>
      <c r="C23" s="9" t="s">
        <v>201</v>
      </c>
      <c r="D23" s="18" t="s">
        <v>49</v>
      </c>
      <c r="E23" s="19" t="s">
        <v>227</v>
      </c>
    </row>
    <row r="24" customFormat="false" ht="34.5" hidden="false" customHeight="true" outlineLevel="0" collapsed="false">
      <c r="A24" s="9" t="s">
        <v>55</v>
      </c>
      <c r="B24" s="18" t="s">
        <v>28</v>
      </c>
      <c r="C24" s="9" t="s">
        <v>203</v>
      </c>
      <c r="D24" s="18" t="s">
        <v>58</v>
      </c>
      <c r="E24" s="19" t="s">
        <v>228</v>
      </c>
    </row>
    <row r="25" customFormat="false" ht="34.5" hidden="false" customHeight="true" outlineLevel="0" collapsed="false">
      <c r="A25" s="9" t="s">
        <v>55</v>
      </c>
      <c r="B25" s="18" t="s">
        <v>29</v>
      </c>
      <c r="C25" s="9" t="s">
        <v>205</v>
      </c>
      <c r="D25" s="18" t="s">
        <v>51</v>
      </c>
      <c r="E25" s="19" t="s">
        <v>229</v>
      </c>
    </row>
    <row r="26" customFormat="false" ht="45.75" hidden="false" customHeight="true" outlineLevel="0" collapsed="false">
      <c r="A26" s="9" t="s">
        <v>55</v>
      </c>
      <c r="B26" s="18" t="s">
        <v>30</v>
      </c>
      <c r="C26" s="9" t="s">
        <v>207</v>
      </c>
      <c r="D26" s="18" t="s">
        <v>49</v>
      </c>
      <c r="E26" s="19" t="s">
        <v>230</v>
      </c>
    </row>
    <row r="27" customFormat="false" ht="34.5" hidden="false" customHeight="true" outlineLevel="0" collapsed="false">
      <c r="A27" s="9" t="s">
        <v>55</v>
      </c>
      <c r="B27" s="18" t="s">
        <v>31</v>
      </c>
      <c r="C27" s="9" t="s">
        <v>209</v>
      </c>
      <c r="D27" s="18" t="s">
        <v>49</v>
      </c>
      <c r="E27" s="19" t="s">
        <v>231</v>
      </c>
    </row>
    <row r="28" customFormat="false" ht="34.5" hidden="false" customHeight="true" outlineLevel="0" collapsed="false">
      <c r="A28" s="9" t="s">
        <v>55</v>
      </c>
      <c r="B28" s="18" t="s">
        <v>32</v>
      </c>
      <c r="C28" s="9" t="s">
        <v>211</v>
      </c>
      <c r="D28" s="18" t="s">
        <v>49</v>
      </c>
      <c r="E28" s="19" t="s">
        <v>232</v>
      </c>
    </row>
    <row r="29" customFormat="false" ht="23.25" hidden="false" customHeight="true" outlineLevel="0" collapsed="false">
      <c r="A29" s="9" t="s">
        <v>55</v>
      </c>
      <c r="B29" s="18" t="s">
        <v>33</v>
      </c>
      <c r="C29" s="9" t="s">
        <v>213</v>
      </c>
      <c r="D29" s="18" t="s">
        <v>49</v>
      </c>
      <c r="E29" s="19" t="s">
        <v>233</v>
      </c>
    </row>
    <row r="30" customFormat="false" ht="34.5" hidden="false" customHeight="true" outlineLevel="0" collapsed="false">
      <c r="A30" s="9" t="s">
        <v>55</v>
      </c>
      <c r="B30" s="18" t="s">
        <v>34</v>
      </c>
      <c r="C30" s="9" t="s">
        <v>215</v>
      </c>
      <c r="D30" s="18" t="s">
        <v>51</v>
      </c>
      <c r="E30" s="19" t="s">
        <v>234</v>
      </c>
    </row>
    <row r="31" customFormat="false" ht="34.5" hidden="false" customHeight="true" outlineLevel="0" collapsed="false">
      <c r="A31" s="9" t="s">
        <v>55</v>
      </c>
      <c r="B31" s="18" t="s">
        <v>35</v>
      </c>
      <c r="C31" s="9" t="s">
        <v>217</v>
      </c>
      <c r="D31" s="18" t="s">
        <v>49</v>
      </c>
      <c r="E31" s="19" t="s">
        <v>235</v>
      </c>
    </row>
    <row r="32" customFormat="false" ht="15" hidden="false" customHeight="true" outlineLevel="0" collapsed="false">
      <c r="A32" s="9" t="s">
        <v>55</v>
      </c>
      <c r="B32" s="18" t="s">
        <v>36</v>
      </c>
      <c r="C32" s="9" t="s">
        <v>219</v>
      </c>
      <c r="D32" s="18" t="s">
        <v>49</v>
      </c>
      <c r="E32" s="19" t="s">
        <v>236</v>
      </c>
    </row>
    <row r="33" customFormat="false" ht="23.25" hidden="false" customHeight="true" outlineLevel="0" collapsed="false">
      <c r="A33" s="9" t="s">
        <v>55</v>
      </c>
      <c r="B33" s="18" t="s">
        <v>37</v>
      </c>
      <c r="C33" s="9" t="s">
        <v>221</v>
      </c>
      <c r="D33" s="18" t="s">
        <v>49</v>
      </c>
      <c r="E33" s="19" t="s">
        <v>237</v>
      </c>
    </row>
    <row r="34" customFormat="false" ht="15" hidden="false" customHeight="true" outlineLevel="0" collapsed="false">
      <c r="A34" s="9" t="s">
        <v>61</v>
      </c>
      <c r="B34" s="18" t="s">
        <v>23</v>
      </c>
      <c r="C34" s="9" t="s">
        <v>193</v>
      </c>
      <c r="D34" s="18" t="s">
        <v>49</v>
      </c>
      <c r="E34" s="19" t="s">
        <v>238</v>
      </c>
    </row>
    <row r="35" customFormat="false" ht="15" hidden="false" customHeight="true" outlineLevel="0" collapsed="false">
      <c r="A35" s="9" t="s">
        <v>61</v>
      </c>
      <c r="B35" s="18" t="s">
        <v>24</v>
      </c>
      <c r="C35" s="9" t="s">
        <v>195</v>
      </c>
      <c r="D35" s="18" t="s">
        <v>52</v>
      </c>
      <c r="E35" s="19" t="s">
        <v>239</v>
      </c>
    </row>
    <row r="36" customFormat="false" ht="15" hidden="false" customHeight="true" outlineLevel="0" collapsed="false">
      <c r="A36" s="9" t="s">
        <v>61</v>
      </c>
      <c r="B36" s="18" t="s">
        <v>25</v>
      </c>
      <c r="C36" s="9" t="s">
        <v>197</v>
      </c>
      <c r="D36" s="18" t="s">
        <v>58</v>
      </c>
      <c r="E36" s="19" t="s">
        <v>240</v>
      </c>
    </row>
    <row r="37" customFormat="false" ht="15" hidden="false" customHeight="true" outlineLevel="0" collapsed="false">
      <c r="A37" s="9" t="s">
        <v>61</v>
      </c>
      <c r="B37" s="18" t="s">
        <v>26</v>
      </c>
      <c r="C37" s="9" t="s">
        <v>199</v>
      </c>
      <c r="D37" s="18" t="s">
        <v>51</v>
      </c>
      <c r="E37" s="19" t="s">
        <v>241</v>
      </c>
    </row>
    <row r="38" customFormat="false" ht="15" hidden="false" customHeight="true" outlineLevel="0" collapsed="false">
      <c r="A38" s="9" t="s">
        <v>61</v>
      </c>
      <c r="B38" s="18" t="s">
        <v>27</v>
      </c>
      <c r="C38" s="9" t="s">
        <v>201</v>
      </c>
      <c r="D38" s="18" t="s">
        <v>49</v>
      </c>
      <c r="E38" s="19" t="s">
        <v>242</v>
      </c>
    </row>
    <row r="39" customFormat="false" ht="15" hidden="false" customHeight="true" outlineLevel="0" collapsed="false">
      <c r="A39" s="9" t="s">
        <v>61</v>
      </c>
      <c r="B39" s="18" t="s">
        <v>28</v>
      </c>
      <c r="C39" s="9" t="s">
        <v>203</v>
      </c>
      <c r="D39" s="18" t="s">
        <v>58</v>
      </c>
      <c r="E39" s="19" t="s">
        <v>243</v>
      </c>
    </row>
    <row r="40" customFormat="false" ht="15" hidden="false" customHeight="true" outlineLevel="0" collapsed="false">
      <c r="A40" s="9" t="s">
        <v>61</v>
      </c>
      <c r="B40" s="18" t="s">
        <v>29</v>
      </c>
      <c r="C40" s="9" t="s">
        <v>205</v>
      </c>
      <c r="D40" s="18" t="s">
        <v>52</v>
      </c>
      <c r="E40" s="19" t="s">
        <v>244</v>
      </c>
    </row>
    <row r="41" customFormat="false" ht="15" hidden="false" customHeight="true" outlineLevel="0" collapsed="false">
      <c r="A41" s="9" t="s">
        <v>61</v>
      </c>
      <c r="B41" s="18" t="s">
        <v>30</v>
      </c>
      <c r="C41" s="9" t="s">
        <v>207</v>
      </c>
      <c r="D41" s="18" t="s">
        <v>49</v>
      </c>
      <c r="E41" s="19" t="s">
        <v>245</v>
      </c>
    </row>
    <row r="42" customFormat="false" ht="15" hidden="false" customHeight="true" outlineLevel="0" collapsed="false">
      <c r="A42" s="9" t="s">
        <v>61</v>
      </c>
      <c r="B42" s="18" t="s">
        <v>31</v>
      </c>
      <c r="C42" s="9" t="s">
        <v>209</v>
      </c>
      <c r="D42" s="18" t="s">
        <v>52</v>
      </c>
      <c r="E42" s="19" t="s">
        <v>246</v>
      </c>
    </row>
    <row r="43" customFormat="false" ht="15" hidden="false" customHeight="true" outlineLevel="0" collapsed="false">
      <c r="A43" s="9" t="s">
        <v>61</v>
      </c>
      <c r="B43" s="18" t="s">
        <v>32</v>
      </c>
      <c r="C43" s="9" t="s">
        <v>211</v>
      </c>
      <c r="D43" s="18" t="s">
        <v>49</v>
      </c>
      <c r="E43" s="19" t="s">
        <v>247</v>
      </c>
    </row>
    <row r="44" customFormat="false" ht="15" hidden="false" customHeight="true" outlineLevel="0" collapsed="false">
      <c r="A44" s="9" t="s">
        <v>61</v>
      </c>
      <c r="B44" s="18" t="s">
        <v>33</v>
      </c>
      <c r="C44" s="9" t="s">
        <v>213</v>
      </c>
      <c r="D44" s="18" t="s">
        <v>49</v>
      </c>
      <c r="E44" s="19" t="s">
        <v>248</v>
      </c>
    </row>
    <row r="45" customFormat="false" ht="15" hidden="false" customHeight="true" outlineLevel="0" collapsed="false">
      <c r="A45" s="9" t="s">
        <v>61</v>
      </c>
      <c r="B45" s="18" t="s">
        <v>34</v>
      </c>
      <c r="C45" s="9" t="s">
        <v>215</v>
      </c>
      <c r="D45" s="18" t="s">
        <v>49</v>
      </c>
      <c r="E45" s="19" t="s">
        <v>249</v>
      </c>
    </row>
    <row r="46" customFormat="false" ht="23.25" hidden="false" customHeight="true" outlineLevel="0" collapsed="false">
      <c r="A46" s="9" t="s">
        <v>61</v>
      </c>
      <c r="B46" s="18" t="s">
        <v>35</v>
      </c>
      <c r="C46" s="9" t="s">
        <v>217</v>
      </c>
      <c r="D46" s="18" t="s">
        <v>49</v>
      </c>
      <c r="E46" s="19" t="s">
        <v>250</v>
      </c>
    </row>
    <row r="47" customFormat="false" ht="15" hidden="false" customHeight="true" outlineLevel="0" collapsed="false">
      <c r="A47" s="9" t="s">
        <v>61</v>
      </c>
      <c r="B47" s="18" t="s">
        <v>36</v>
      </c>
      <c r="C47" s="9" t="s">
        <v>219</v>
      </c>
      <c r="D47" s="18" t="s">
        <v>52</v>
      </c>
      <c r="E47" s="19" t="s">
        <v>251</v>
      </c>
    </row>
    <row r="48" customFormat="false" ht="15" hidden="false" customHeight="true" outlineLevel="0" collapsed="false">
      <c r="A48" s="9" t="s">
        <v>61</v>
      </c>
      <c r="B48" s="18" t="s">
        <v>37</v>
      </c>
      <c r="C48" s="9" t="s">
        <v>221</v>
      </c>
      <c r="D48" s="18" t="s">
        <v>49</v>
      </c>
      <c r="E48" s="19" t="s">
        <v>252</v>
      </c>
    </row>
    <row r="49" customFormat="false" ht="15" hidden="false" customHeight="true" outlineLevel="0" collapsed="false">
      <c r="A49" s="9" t="s">
        <v>64</v>
      </c>
      <c r="B49" s="18" t="s">
        <v>23</v>
      </c>
      <c r="C49" s="9" t="s">
        <v>193</v>
      </c>
      <c r="D49" s="18" t="s">
        <v>52</v>
      </c>
      <c r="E49" s="19" t="s">
        <v>253</v>
      </c>
    </row>
    <row r="50" customFormat="false" ht="15" hidden="false" customHeight="true" outlineLevel="0" collapsed="false">
      <c r="A50" s="9" t="s">
        <v>64</v>
      </c>
      <c r="B50" s="18" t="s">
        <v>24</v>
      </c>
      <c r="C50" s="9" t="s">
        <v>195</v>
      </c>
      <c r="D50" s="18" t="s">
        <v>51</v>
      </c>
      <c r="E50" s="19" t="s">
        <v>254</v>
      </c>
    </row>
    <row r="51" customFormat="false" ht="15" hidden="false" customHeight="true" outlineLevel="0" collapsed="false">
      <c r="A51" s="9" t="s">
        <v>64</v>
      </c>
      <c r="B51" s="18" t="s">
        <v>25</v>
      </c>
      <c r="C51" s="9" t="s">
        <v>197</v>
      </c>
      <c r="D51" s="18" t="s">
        <v>51</v>
      </c>
      <c r="E51" s="19" t="s">
        <v>255</v>
      </c>
    </row>
    <row r="52" customFormat="false" ht="15" hidden="false" customHeight="true" outlineLevel="0" collapsed="false">
      <c r="A52" s="9" t="s">
        <v>64</v>
      </c>
      <c r="B52" s="18" t="s">
        <v>26</v>
      </c>
      <c r="C52" s="9" t="s">
        <v>199</v>
      </c>
      <c r="D52" s="18" t="s">
        <v>51</v>
      </c>
      <c r="E52" s="19" t="s">
        <v>256</v>
      </c>
    </row>
    <row r="53" customFormat="false" ht="15" hidden="false" customHeight="true" outlineLevel="0" collapsed="false">
      <c r="A53" s="9" t="s">
        <v>64</v>
      </c>
      <c r="B53" s="18" t="s">
        <v>27</v>
      </c>
      <c r="C53" s="9" t="s">
        <v>201</v>
      </c>
      <c r="D53" s="18" t="s">
        <v>49</v>
      </c>
      <c r="E53" s="19" t="s">
        <v>257</v>
      </c>
    </row>
    <row r="54" customFormat="false" ht="15" hidden="false" customHeight="true" outlineLevel="0" collapsed="false">
      <c r="A54" s="9" t="s">
        <v>64</v>
      </c>
      <c r="B54" s="18" t="s">
        <v>28</v>
      </c>
      <c r="C54" s="9" t="s">
        <v>203</v>
      </c>
      <c r="D54" s="18" t="s">
        <v>58</v>
      </c>
      <c r="E54" s="19" t="s">
        <v>258</v>
      </c>
    </row>
    <row r="55" customFormat="false" ht="15" hidden="false" customHeight="true" outlineLevel="0" collapsed="false">
      <c r="A55" s="9" t="s">
        <v>64</v>
      </c>
      <c r="B55" s="18" t="s">
        <v>29</v>
      </c>
      <c r="C55" s="9" t="s">
        <v>205</v>
      </c>
      <c r="D55" s="18" t="s">
        <v>52</v>
      </c>
      <c r="E55" s="19" t="s">
        <v>259</v>
      </c>
    </row>
    <row r="56" customFormat="false" ht="15" hidden="false" customHeight="true" outlineLevel="0" collapsed="false">
      <c r="A56" s="9" t="s">
        <v>64</v>
      </c>
      <c r="B56" s="18" t="s">
        <v>30</v>
      </c>
      <c r="C56" s="9" t="s">
        <v>207</v>
      </c>
      <c r="D56" s="18" t="s">
        <v>51</v>
      </c>
      <c r="E56" s="19" t="s">
        <v>260</v>
      </c>
    </row>
    <row r="57" customFormat="false" ht="15" hidden="false" customHeight="true" outlineLevel="0" collapsed="false">
      <c r="A57" s="9" t="s">
        <v>64</v>
      </c>
      <c r="B57" s="18" t="s">
        <v>31</v>
      </c>
      <c r="C57" s="9" t="s">
        <v>209</v>
      </c>
      <c r="D57" s="18" t="s">
        <v>49</v>
      </c>
      <c r="E57" s="19" t="s">
        <v>261</v>
      </c>
    </row>
    <row r="58" customFormat="false" ht="15" hidden="false" customHeight="true" outlineLevel="0" collapsed="false">
      <c r="A58" s="9" t="s">
        <v>64</v>
      </c>
      <c r="B58" s="18" t="s">
        <v>32</v>
      </c>
      <c r="C58" s="9" t="s">
        <v>211</v>
      </c>
      <c r="D58" s="18" t="s">
        <v>51</v>
      </c>
      <c r="E58" s="19" t="s">
        <v>262</v>
      </c>
    </row>
    <row r="59" customFormat="false" ht="15" hidden="false" customHeight="true" outlineLevel="0" collapsed="false">
      <c r="A59" s="9" t="s">
        <v>64</v>
      </c>
      <c r="B59" s="18" t="s">
        <v>33</v>
      </c>
      <c r="C59" s="9" t="s">
        <v>213</v>
      </c>
      <c r="D59" s="18" t="s">
        <v>49</v>
      </c>
      <c r="E59" s="19" t="s">
        <v>248</v>
      </c>
    </row>
    <row r="60" customFormat="false" ht="23.25" hidden="false" customHeight="true" outlineLevel="0" collapsed="false">
      <c r="A60" s="9" t="s">
        <v>64</v>
      </c>
      <c r="B60" s="18" t="s">
        <v>34</v>
      </c>
      <c r="C60" s="9" t="s">
        <v>215</v>
      </c>
      <c r="D60" s="18" t="s">
        <v>49</v>
      </c>
      <c r="E60" s="19" t="s">
        <v>263</v>
      </c>
    </row>
    <row r="61" customFormat="false" ht="23.25" hidden="false" customHeight="true" outlineLevel="0" collapsed="false">
      <c r="A61" s="9" t="s">
        <v>64</v>
      </c>
      <c r="B61" s="18" t="s">
        <v>35</v>
      </c>
      <c r="C61" s="9" t="s">
        <v>217</v>
      </c>
      <c r="D61" s="18" t="s">
        <v>49</v>
      </c>
      <c r="E61" s="19" t="s">
        <v>264</v>
      </c>
    </row>
    <row r="62" customFormat="false" ht="15" hidden="false" customHeight="true" outlineLevel="0" collapsed="false">
      <c r="A62" s="9" t="s">
        <v>64</v>
      </c>
      <c r="B62" s="18" t="s">
        <v>36</v>
      </c>
      <c r="C62" s="9" t="s">
        <v>219</v>
      </c>
      <c r="D62" s="18" t="s">
        <v>52</v>
      </c>
      <c r="E62" s="19" t="s">
        <v>265</v>
      </c>
    </row>
    <row r="63" customFormat="false" ht="15" hidden="false" customHeight="true" outlineLevel="0" collapsed="false">
      <c r="A63" s="9" t="s">
        <v>64</v>
      </c>
      <c r="B63" s="18" t="s">
        <v>37</v>
      </c>
      <c r="C63" s="9" t="s">
        <v>221</v>
      </c>
      <c r="D63" s="18" t="s">
        <v>52</v>
      </c>
      <c r="E63" s="19" t="s">
        <v>266</v>
      </c>
    </row>
    <row r="64" customFormat="false" ht="15" hidden="false" customHeight="true" outlineLevel="0" collapsed="false">
      <c r="A64" s="9" t="s">
        <v>67</v>
      </c>
      <c r="B64" s="18" t="s">
        <v>23</v>
      </c>
      <c r="C64" s="9" t="s">
        <v>193</v>
      </c>
      <c r="D64" s="18" t="s">
        <v>49</v>
      </c>
      <c r="E64" s="19" t="s">
        <v>267</v>
      </c>
    </row>
    <row r="65" customFormat="false" ht="15" hidden="false" customHeight="true" outlineLevel="0" collapsed="false">
      <c r="A65" s="9" t="s">
        <v>67</v>
      </c>
      <c r="B65" s="18" t="s">
        <v>24</v>
      </c>
      <c r="C65" s="9" t="s">
        <v>195</v>
      </c>
      <c r="D65" s="18" t="s">
        <v>49</v>
      </c>
      <c r="E65" s="19" t="s">
        <v>268</v>
      </c>
    </row>
    <row r="66" customFormat="false" ht="15" hidden="false" customHeight="true" outlineLevel="0" collapsed="false">
      <c r="A66" s="9" t="s">
        <v>67</v>
      </c>
      <c r="B66" s="18" t="s">
        <v>25</v>
      </c>
      <c r="C66" s="9" t="s">
        <v>197</v>
      </c>
      <c r="D66" s="18" t="s">
        <v>58</v>
      </c>
      <c r="E66" s="19" t="s">
        <v>269</v>
      </c>
    </row>
    <row r="67" customFormat="false" ht="15" hidden="false" customHeight="true" outlineLevel="0" collapsed="false">
      <c r="A67" s="9" t="s">
        <v>67</v>
      </c>
      <c r="B67" s="18" t="s">
        <v>26</v>
      </c>
      <c r="C67" s="9" t="s">
        <v>199</v>
      </c>
      <c r="D67" s="18" t="s">
        <v>51</v>
      </c>
      <c r="E67" s="19" t="s">
        <v>270</v>
      </c>
    </row>
    <row r="68" customFormat="false" ht="15" hidden="false" customHeight="true" outlineLevel="0" collapsed="false">
      <c r="A68" s="9" t="s">
        <v>67</v>
      </c>
      <c r="B68" s="18" t="s">
        <v>27</v>
      </c>
      <c r="C68" s="9" t="s">
        <v>201</v>
      </c>
      <c r="D68" s="18" t="s">
        <v>49</v>
      </c>
      <c r="E68" s="19" t="s">
        <v>271</v>
      </c>
    </row>
    <row r="69" customFormat="false" ht="15" hidden="false" customHeight="true" outlineLevel="0" collapsed="false">
      <c r="A69" s="9" t="s">
        <v>67</v>
      </c>
      <c r="B69" s="18" t="s">
        <v>28</v>
      </c>
      <c r="C69" s="9" t="s">
        <v>203</v>
      </c>
      <c r="D69" s="18" t="s">
        <v>58</v>
      </c>
      <c r="E69" s="19" t="s">
        <v>272</v>
      </c>
    </row>
    <row r="70" customFormat="false" ht="15" hidden="false" customHeight="true" outlineLevel="0" collapsed="false">
      <c r="A70" s="9" t="s">
        <v>67</v>
      </c>
      <c r="B70" s="18" t="s">
        <v>29</v>
      </c>
      <c r="C70" s="9" t="s">
        <v>205</v>
      </c>
      <c r="D70" s="18" t="s">
        <v>52</v>
      </c>
      <c r="E70" s="19" t="s">
        <v>273</v>
      </c>
    </row>
    <row r="71" customFormat="false" ht="15" hidden="false" customHeight="true" outlineLevel="0" collapsed="false">
      <c r="A71" s="9" t="s">
        <v>67</v>
      </c>
      <c r="B71" s="18" t="s">
        <v>30</v>
      </c>
      <c r="C71" s="9" t="s">
        <v>207</v>
      </c>
      <c r="D71" s="18" t="s">
        <v>51</v>
      </c>
      <c r="E71" s="19" t="s">
        <v>274</v>
      </c>
    </row>
    <row r="72" customFormat="false" ht="15" hidden="false" customHeight="true" outlineLevel="0" collapsed="false">
      <c r="A72" s="9" t="s">
        <v>67</v>
      </c>
      <c r="B72" s="18" t="s">
        <v>31</v>
      </c>
      <c r="C72" s="9" t="s">
        <v>209</v>
      </c>
      <c r="D72" s="18" t="s">
        <v>52</v>
      </c>
      <c r="E72" s="19" t="s">
        <v>275</v>
      </c>
    </row>
    <row r="73" customFormat="false" ht="15" hidden="false" customHeight="true" outlineLevel="0" collapsed="false">
      <c r="A73" s="9" t="s">
        <v>67</v>
      </c>
      <c r="B73" s="18" t="s">
        <v>32</v>
      </c>
      <c r="C73" s="9" t="s">
        <v>211</v>
      </c>
      <c r="D73" s="18" t="s">
        <v>51</v>
      </c>
      <c r="E73" s="19" t="s">
        <v>276</v>
      </c>
    </row>
    <row r="74" customFormat="false" ht="15" hidden="false" customHeight="true" outlineLevel="0" collapsed="false">
      <c r="A74" s="9" t="s">
        <v>67</v>
      </c>
      <c r="B74" s="18" t="s">
        <v>33</v>
      </c>
      <c r="C74" s="9" t="s">
        <v>213</v>
      </c>
      <c r="D74" s="18" t="s">
        <v>49</v>
      </c>
      <c r="E74" s="19" t="s">
        <v>248</v>
      </c>
    </row>
    <row r="75" customFormat="false" ht="15" hidden="false" customHeight="true" outlineLevel="0" collapsed="false">
      <c r="A75" s="9" t="s">
        <v>67</v>
      </c>
      <c r="B75" s="18" t="s">
        <v>34</v>
      </c>
      <c r="C75" s="9" t="s">
        <v>215</v>
      </c>
      <c r="D75" s="18" t="s">
        <v>49</v>
      </c>
      <c r="E75" s="19" t="s">
        <v>277</v>
      </c>
    </row>
    <row r="76" customFormat="false" ht="15" hidden="false" customHeight="true" outlineLevel="0" collapsed="false">
      <c r="A76" s="9" t="s">
        <v>67</v>
      </c>
      <c r="B76" s="18" t="s">
        <v>35</v>
      </c>
      <c r="C76" s="9" t="s">
        <v>217</v>
      </c>
      <c r="D76" s="18"/>
      <c r="E76" s="19" t="s">
        <v>278</v>
      </c>
    </row>
    <row r="77" customFormat="false" ht="15" hidden="false" customHeight="true" outlineLevel="0" collapsed="false">
      <c r="A77" s="9" t="s">
        <v>67</v>
      </c>
      <c r="B77" s="18" t="s">
        <v>36</v>
      </c>
      <c r="C77" s="9" t="s">
        <v>219</v>
      </c>
      <c r="D77" s="18" t="s">
        <v>51</v>
      </c>
      <c r="E77" s="19" t="s">
        <v>279</v>
      </c>
    </row>
    <row r="78" customFormat="false" ht="15" hidden="false" customHeight="true" outlineLevel="0" collapsed="false">
      <c r="A78" s="9" t="s">
        <v>67</v>
      </c>
      <c r="B78" s="18" t="s">
        <v>37</v>
      </c>
      <c r="C78" s="9" t="s">
        <v>221</v>
      </c>
      <c r="D78" s="18" t="s">
        <v>49</v>
      </c>
      <c r="E78" s="19" t="s">
        <v>280</v>
      </c>
    </row>
    <row r="79" customFormat="false" ht="15" hidden="false" customHeight="true" outlineLevel="0" collapsed="false">
      <c r="A79" s="9" t="s">
        <v>70</v>
      </c>
      <c r="B79" s="18" t="s">
        <v>23</v>
      </c>
      <c r="C79" s="9" t="s">
        <v>193</v>
      </c>
      <c r="D79" s="18" t="s">
        <v>52</v>
      </c>
      <c r="E79" s="19" t="s">
        <v>281</v>
      </c>
    </row>
    <row r="80" customFormat="false" ht="15" hidden="false" customHeight="true" outlineLevel="0" collapsed="false">
      <c r="A80" s="9" t="s">
        <v>70</v>
      </c>
      <c r="B80" s="18" t="s">
        <v>24</v>
      </c>
      <c r="C80" s="9" t="s">
        <v>195</v>
      </c>
      <c r="D80" s="18" t="s">
        <v>52</v>
      </c>
      <c r="E80" s="19" t="s">
        <v>282</v>
      </c>
    </row>
    <row r="81" customFormat="false" ht="15" hidden="false" customHeight="true" outlineLevel="0" collapsed="false">
      <c r="A81" s="9" t="s">
        <v>70</v>
      </c>
      <c r="B81" s="18" t="s">
        <v>25</v>
      </c>
      <c r="C81" s="9" t="s">
        <v>197</v>
      </c>
      <c r="D81" s="18" t="s">
        <v>72</v>
      </c>
      <c r="E81" s="19" t="s">
        <v>283</v>
      </c>
    </row>
    <row r="82" customFormat="false" ht="15" hidden="false" customHeight="true" outlineLevel="0" collapsed="false">
      <c r="A82" s="9" t="s">
        <v>70</v>
      </c>
      <c r="B82" s="18" t="s">
        <v>26</v>
      </c>
      <c r="C82" s="9" t="s">
        <v>199</v>
      </c>
      <c r="D82" s="18" t="s">
        <v>49</v>
      </c>
      <c r="E82" s="19" t="s">
        <v>284</v>
      </c>
    </row>
    <row r="83" customFormat="false" ht="15" hidden="false" customHeight="true" outlineLevel="0" collapsed="false">
      <c r="A83" s="9" t="s">
        <v>70</v>
      </c>
      <c r="B83" s="18" t="s">
        <v>27</v>
      </c>
      <c r="C83" s="9" t="s">
        <v>201</v>
      </c>
      <c r="D83" s="18" t="s">
        <v>49</v>
      </c>
      <c r="E83" s="19" t="s">
        <v>285</v>
      </c>
    </row>
    <row r="84" customFormat="false" ht="23.25" hidden="false" customHeight="true" outlineLevel="0" collapsed="false">
      <c r="A84" s="9" t="s">
        <v>70</v>
      </c>
      <c r="B84" s="18" t="s">
        <v>28</v>
      </c>
      <c r="C84" s="9" t="s">
        <v>203</v>
      </c>
      <c r="D84" s="18" t="s">
        <v>51</v>
      </c>
      <c r="E84" s="19" t="s">
        <v>286</v>
      </c>
    </row>
    <row r="85" customFormat="false" ht="15" hidden="false" customHeight="true" outlineLevel="0" collapsed="false">
      <c r="A85" s="9" t="s">
        <v>70</v>
      </c>
      <c r="B85" s="18" t="s">
        <v>29</v>
      </c>
      <c r="C85" s="9" t="s">
        <v>205</v>
      </c>
      <c r="D85" s="18" t="s">
        <v>51</v>
      </c>
      <c r="E85" s="19" t="s">
        <v>287</v>
      </c>
    </row>
    <row r="86" customFormat="false" ht="15" hidden="false" customHeight="true" outlineLevel="0" collapsed="false">
      <c r="A86" s="9" t="s">
        <v>70</v>
      </c>
      <c r="B86" s="18" t="s">
        <v>30</v>
      </c>
      <c r="C86" s="9" t="s">
        <v>207</v>
      </c>
      <c r="D86" s="18" t="s">
        <v>52</v>
      </c>
      <c r="E86" s="19" t="s">
        <v>288</v>
      </c>
    </row>
    <row r="87" customFormat="false" ht="15" hidden="false" customHeight="true" outlineLevel="0" collapsed="false">
      <c r="A87" s="9" t="s">
        <v>70</v>
      </c>
      <c r="B87" s="18" t="s">
        <v>31</v>
      </c>
      <c r="C87" s="9" t="s">
        <v>209</v>
      </c>
      <c r="D87" s="18" t="s">
        <v>52</v>
      </c>
      <c r="E87" s="19" t="s">
        <v>289</v>
      </c>
    </row>
    <row r="88" customFormat="false" ht="15" hidden="false" customHeight="true" outlineLevel="0" collapsed="false">
      <c r="A88" s="9" t="s">
        <v>70</v>
      </c>
      <c r="B88" s="18" t="s">
        <v>32</v>
      </c>
      <c r="C88" s="9" t="s">
        <v>211</v>
      </c>
      <c r="D88" s="18" t="s">
        <v>51</v>
      </c>
      <c r="E88" s="19" t="s">
        <v>290</v>
      </c>
    </row>
    <row r="89" customFormat="false" ht="15" hidden="false" customHeight="true" outlineLevel="0" collapsed="false">
      <c r="A89" s="9" t="s">
        <v>70</v>
      </c>
      <c r="B89" s="18" t="s">
        <v>33</v>
      </c>
      <c r="C89" s="9" t="s">
        <v>213</v>
      </c>
      <c r="D89" s="18" t="s">
        <v>49</v>
      </c>
      <c r="E89" s="19" t="s">
        <v>291</v>
      </c>
    </row>
    <row r="90" customFormat="false" ht="15" hidden="false" customHeight="true" outlineLevel="0" collapsed="false">
      <c r="A90" s="9" t="s">
        <v>70</v>
      </c>
      <c r="B90" s="18" t="s">
        <v>34</v>
      </c>
      <c r="C90" s="9" t="s">
        <v>215</v>
      </c>
      <c r="D90" s="18" t="s">
        <v>52</v>
      </c>
      <c r="E90" s="19" t="s">
        <v>292</v>
      </c>
    </row>
    <row r="91" customFormat="false" ht="23.25" hidden="false" customHeight="true" outlineLevel="0" collapsed="false">
      <c r="A91" s="9" t="s">
        <v>70</v>
      </c>
      <c r="B91" s="18" t="s">
        <v>35</v>
      </c>
      <c r="C91" s="9" t="s">
        <v>217</v>
      </c>
      <c r="D91" s="18" t="s">
        <v>49</v>
      </c>
      <c r="E91" s="19" t="s">
        <v>293</v>
      </c>
    </row>
    <row r="92" customFormat="false" ht="15" hidden="false" customHeight="true" outlineLevel="0" collapsed="false">
      <c r="A92" s="9" t="s">
        <v>70</v>
      </c>
      <c r="B92" s="18" t="s">
        <v>36</v>
      </c>
      <c r="C92" s="9" t="s">
        <v>219</v>
      </c>
      <c r="D92" s="18" t="s">
        <v>52</v>
      </c>
      <c r="E92" s="19" t="s">
        <v>294</v>
      </c>
    </row>
    <row r="93" customFormat="false" ht="15" hidden="false" customHeight="true" outlineLevel="0" collapsed="false">
      <c r="A93" s="9" t="s">
        <v>70</v>
      </c>
      <c r="B93" s="18" t="s">
        <v>37</v>
      </c>
      <c r="C93" s="9" t="s">
        <v>221</v>
      </c>
      <c r="D93" s="18" t="s">
        <v>49</v>
      </c>
      <c r="E93" s="19" t="s">
        <v>295</v>
      </c>
    </row>
    <row r="94" customFormat="false" ht="15" hidden="false" customHeight="true" outlineLevel="0" collapsed="false">
      <c r="A94" s="9" t="s">
        <v>74</v>
      </c>
      <c r="B94" s="18" t="s">
        <v>23</v>
      </c>
      <c r="C94" s="9" t="s">
        <v>193</v>
      </c>
      <c r="D94" s="18" t="s">
        <v>52</v>
      </c>
      <c r="E94" s="19" t="s">
        <v>296</v>
      </c>
    </row>
    <row r="95" customFormat="false" ht="15" hidden="false" customHeight="true" outlineLevel="0" collapsed="false">
      <c r="A95" s="9" t="s">
        <v>74</v>
      </c>
      <c r="B95" s="18" t="s">
        <v>24</v>
      </c>
      <c r="C95" s="9" t="s">
        <v>195</v>
      </c>
      <c r="D95" s="18" t="s">
        <v>49</v>
      </c>
      <c r="E95" s="19" t="s">
        <v>297</v>
      </c>
    </row>
    <row r="96" customFormat="false" ht="15" hidden="false" customHeight="true" outlineLevel="0" collapsed="false">
      <c r="A96" s="9" t="s">
        <v>74</v>
      </c>
      <c r="B96" s="18" t="s">
        <v>25</v>
      </c>
      <c r="C96" s="9" t="s">
        <v>197</v>
      </c>
      <c r="D96" s="18" t="s">
        <v>51</v>
      </c>
      <c r="E96" s="19" t="s">
        <v>298</v>
      </c>
    </row>
    <row r="97" customFormat="false" ht="15" hidden="false" customHeight="true" outlineLevel="0" collapsed="false">
      <c r="A97" s="9" t="s">
        <v>74</v>
      </c>
      <c r="B97" s="18" t="s">
        <v>26</v>
      </c>
      <c r="C97" s="9" t="s">
        <v>199</v>
      </c>
      <c r="D97" s="18" t="s">
        <v>58</v>
      </c>
      <c r="E97" s="19" t="s">
        <v>299</v>
      </c>
    </row>
    <row r="98" customFormat="false" ht="15" hidden="false" customHeight="true" outlineLevel="0" collapsed="false">
      <c r="A98" s="9" t="s">
        <v>74</v>
      </c>
      <c r="B98" s="18" t="s">
        <v>27</v>
      </c>
      <c r="C98" s="9" t="s">
        <v>201</v>
      </c>
      <c r="D98" s="18" t="s">
        <v>49</v>
      </c>
      <c r="E98" s="19" t="s">
        <v>300</v>
      </c>
    </row>
    <row r="99" customFormat="false" ht="15" hidden="false" customHeight="true" outlineLevel="0" collapsed="false">
      <c r="A99" s="9" t="s">
        <v>74</v>
      </c>
      <c r="B99" s="18" t="s">
        <v>28</v>
      </c>
      <c r="C99" s="9" t="s">
        <v>203</v>
      </c>
      <c r="D99" s="18" t="s">
        <v>72</v>
      </c>
      <c r="E99" s="19" t="s">
        <v>301</v>
      </c>
    </row>
    <row r="100" customFormat="false" ht="15" hidden="false" customHeight="true" outlineLevel="0" collapsed="false">
      <c r="A100" s="9" t="s">
        <v>74</v>
      </c>
      <c r="B100" s="18" t="s">
        <v>29</v>
      </c>
      <c r="C100" s="9" t="s">
        <v>205</v>
      </c>
      <c r="D100" s="18" t="s">
        <v>52</v>
      </c>
      <c r="E100" s="19" t="s">
        <v>302</v>
      </c>
    </row>
    <row r="101" customFormat="false" ht="15" hidden="false" customHeight="true" outlineLevel="0" collapsed="false">
      <c r="A101" s="9" t="s">
        <v>74</v>
      </c>
      <c r="B101" s="18" t="s">
        <v>30</v>
      </c>
      <c r="C101" s="9" t="s">
        <v>207</v>
      </c>
      <c r="D101" s="18" t="s">
        <v>49</v>
      </c>
      <c r="E101" s="19" t="s">
        <v>303</v>
      </c>
    </row>
    <row r="102" customFormat="false" ht="15" hidden="false" customHeight="true" outlineLevel="0" collapsed="false">
      <c r="A102" s="9" t="s">
        <v>74</v>
      </c>
      <c r="B102" s="18" t="s">
        <v>31</v>
      </c>
      <c r="C102" s="9" t="s">
        <v>209</v>
      </c>
      <c r="D102" s="18" t="s">
        <v>52</v>
      </c>
      <c r="E102" s="19" t="s">
        <v>304</v>
      </c>
    </row>
    <row r="103" customFormat="false" ht="15" hidden="false" customHeight="true" outlineLevel="0" collapsed="false">
      <c r="A103" s="9" t="s">
        <v>74</v>
      </c>
      <c r="B103" s="18" t="s">
        <v>32</v>
      </c>
      <c r="C103" s="9" t="s">
        <v>211</v>
      </c>
      <c r="D103" s="18" t="s">
        <v>52</v>
      </c>
      <c r="E103" s="19" t="s">
        <v>305</v>
      </c>
    </row>
    <row r="104" customFormat="false" ht="15" hidden="false" customHeight="true" outlineLevel="0" collapsed="false">
      <c r="A104" s="9" t="s">
        <v>74</v>
      </c>
      <c r="B104" s="18" t="s">
        <v>33</v>
      </c>
      <c r="C104" s="9" t="s">
        <v>213</v>
      </c>
      <c r="D104" s="18" t="s">
        <v>49</v>
      </c>
      <c r="E104" s="19" t="s">
        <v>291</v>
      </c>
    </row>
    <row r="105" customFormat="false" ht="15" hidden="false" customHeight="true" outlineLevel="0" collapsed="false">
      <c r="A105" s="9" t="s">
        <v>74</v>
      </c>
      <c r="B105" s="18" t="s">
        <v>34</v>
      </c>
      <c r="C105" s="9" t="s">
        <v>215</v>
      </c>
      <c r="D105" s="18" t="s">
        <v>49</v>
      </c>
      <c r="E105" s="19" t="s">
        <v>306</v>
      </c>
    </row>
    <row r="106" customFormat="false" ht="15" hidden="false" customHeight="true" outlineLevel="0" collapsed="false">
      <c r="A106" s="9" t="s">
        <v>74</v>
      </c>
      <c r="B106" s="18" t="s">
        <v>35</v>
      </c>
      <c r="C106" s="9" t="s">
        <v>217</v>
      </c>
      <c r="D106" s="18" t="s">
        <v>49</v>
      </c>
      <c r="E106" s="19" t="s">
        <v>307</v>
      </c>
    </row>
    <row r="107" customFormat="false" ht="15" hidden="false" customHeight="true" outlineLevel="0" collapsed="false">
      <c r="A107" s="9" t="s">
        <v>74</v>
      </c>
      <c r="B107" s="18" t="s">
        <v>36</v>
      </c>
      <c r="C107" s="9" t="s">
        <v>219</v>
      </c>
      <c r="D107" s="18" t="s">
        <v>51</v>
      </c>
      <c r="E107" s="19" t="s">
        <v>308</v>
      </c>
    </row>
    <row r="108" customFormat="false" ht="15" hidden="false" customHeight="true" outlineLevel="0" collapsed="false">
      <c r="A108" s="9" t="s">
        <v>74</v>
      </c>
      <c r="B108" s="18" t="s">
        <v>37</v>
      </c>
      <c r="C108" s="9" t="s">
        <v>221</v>
      </c>
      <c r="D108" s="18" t="s">
        <v>49</v>
      </c>
      <c r="E108" s="19" t="s">
        <v>309</v>
      </c>
    </row>
    <row r="109" customFormat="false" ht="15" hidden="false" customHeight="true" outlineLevel="0" collapsed="false">
      <c r="A109" s="9" t="s">
        <v>77</v>
      </c>
      <c r="B109" s="18" t="s">
        <v>23</v>
      </c>
      <c r="C109" s="9" t="s">
        <v>193</v>
      </c>
      <c r="D109" s="18" t="s">
        <v>49</v>
      </c>
      <c r="E109" s="19" t="s">
        <v>310</v>
      </c>
    </row>
    <row r="110" customFormat="false" ht="15" hidden="false" customHeight="true" outlineLevel="0" collapsed="false">
      <c r="A110" s="9" t="s">
        <v>77</v>
      </c>
      <c r="B110" s="18" t="s">
        <v>24</v>
      </c>
      <c r="C110" s="9" t="s">
        <v>195</v>
      </c>
      <c r="D110" s="18" t="s">
        <v>49</v>
      </c>
      <c r="E110" s="19" t="s">
        <v>311</v>
      </c>
    </row>
    <row r="111" customFormat="false" ht="15" hidden="false" customHeight="true" outlineLevel="0" collapsed="false">
      <c r="A111" s="9" t="s">
        <v>77</v>
      </c>
      <c r="B111" s="18" t="s">
        <v>25</v>
      </c>
      <c r="C111" s="9" t="s">
        <v>197</v>
      </c>
      <c r="D111" s="18"/>
      <c r="E111" s="19" t="s">
        <v>312</v>
      </c>
    </row>
    <row r="112" customFormat="false" ht="15" hidden="false" customHeight="true" outlineLevel="0" collapsed="false">
      <c r="A112" s="9" t="s">
        <v>77</v>
      </c>
      <c r="B112" s="18" t="s">
        <v>26</v>
      </c>
      <c r="C112" s="9" t="s">
        <v>199</v>
      </c>
      <c r="D112" s="18" t="s">
        <v>72</v>
      </c>
      <c r="E112" s="19" t="s">
        <v>313</v>
      </c>
    </row>
    <row r="113" customFormat="false" ht="15" hidden="false" customHeight="true" outlineLevel="0" collapsed="false">
      <c r="A113" s="9" t="s">
        <v>77</v>
      </c>
      <c r="B113" s="18" t="s">
        <v>27</v>
      </c>
      <c r="C113" s="9" t="s">
        <v>201</v>
      </c>
      <c r="D113" s="18" t="s">
        <v>49</v>
      </c>
      <c r="E113" s="19" t="s">
        <v>314</v>
      </c>
    </row>
    <row r="114" customFormat="false" ht="23.25" hidden="false" customHeight="true" outlineLevel="0" collapsed="false">
      <c r="A114" s="9" t="s">
        <v>77</v>
      </c>
      <c r="B114" s="18" t="s">
        <v>28</v>
      </c>
      <c r="C114" s="9" t="s">
        <v>203</v>
      </c>
      <c r="D114" s="18" t="s">
        <v>58</v>
      </c>
      <c r="E114" s="19" t="s">
        <v>315</v>
      </c>
    </row>
    <row r="115" customFormat="false" ht="15" hidden="false" customHeight="true" outlineLevel="0" collapsed="false">
      <c r="A115" s="9" t="s">
        <v>77</v>
      </c>
      <c r="B115" s="18" t="s">
        <v>29</v>
      </c>
      <c r="C115" s="9" t="s">
        <v>205</v>
      </c>
      <c r="D115" s="18" t="s">
        <v>52</v>
      </c>
      <c r="E115" s="19" t="s">
        <v>316</v>
      </c>
    </row>
    <row r="116" customFormat="false" ht="15" hidden="false" customHeight="true" outlineLevel="0" collapsed="false">
      <c r="A116" s="9" t="s">
        <v>77</v>
      </c>
      <c r="B116" s="18" t="s">
        <v>30</v>
      </c>
      <c r="C116" s="9" t="s">
        <v>207</v>
      </c>
      <c r="D116" s="18" t="s">
        <v>52</v>
      </c>
      <c r="E116" s="19" t="s">
        <v>317</v>
      </c>
    </row>
    <row r="117" customFormat="false" ht="15" hidden="false" customHeight="true" outlineLevel="0" collapsed="false">
      <c r="A117" s="9" t="s">
        <v>77</v>
      </c>
      <c r="B117" s="18" t="s">
        <v>31</v>
      </c>
      <c r="C117" s="9" t="s">
        <v>209</v>
      </c>
      <c r="D117" s="18" t="s">
        <v>49</v>
      </c>
      <c r="E117" s="19" t="s">
        <v>318</v>
      </c>
    </row>
    <row r="118" customFormat="false" ht="15" hidden="false" customHeight="true" outlineLevel="0" collapsed="false">
      <c r="A118" s="9" t="s">
        <v>77</v>
      </c>
      <c r="B118" s="18" t="s">
        <v>32</v>
      </c>
      <c r="C118" s="9" t="s">
        <v>211</v>
      </c>
      <c r="D118" s="18" t="s">
        <v>52</v>
      </c>
      <c r="E118" s="19" t="s">
        <v>319</v>
      </c>
    </row>
    <row r="119" customFormat="false" ht="15" hidden="false" customHeight="true" outlineLevel="0" collapsed="false">
      <c r="A119" s="9" t="s">
        <v>77</v>
      </c>
      <c r="B119" s="18" t="s">
        <v>33</v>
      </c>
      <c r="C119" s="9" t="s">
        <v>213</v>
      </c>
      <c r="D119" s="18" t="s">
        <v>49</v>
      </c>
      <c r="E119" s="19" t="s">
        <v>291</v>
      </c>
    </row>
    <row r="120" customFormat="false" ht="15" hidden="false" customHeight="true" outlineLevel="0" collapsed="false">
      <c r="A120" s="9" t="s">
        <v>77</v>
      </c>
      <c r="B120" s="18" t="s">
        <v>34</v>
      </c>
      <c r="C120" s="9" t="s">
        <v>215</v>
      </c>
      <c r="D120" s="18" t="s">
        <v>52</v>
      </c>
      <c r="E120" s="19" t="s">
        <v>320</v>
      </c>
    </row>
    <row r="121" customFormat="false" ht="15" hidden="false" customHeight="true" outlineLevel="0" collapsed="false">
      <c r="A121" s="9" t="s">
        <v>77</v>
      </c>
      <c r="B121" s="18" t="s">
        <v>35</v>
      </c>
      <c r="C121" s="9" t="s">
        <v>217</v>
      </c>
      <c r="D121" s="18" t="s">
        <v>49</v>
      </c>
      <c r="E121" s="19" t="s">
        <v>321</v>
      </c>
    </row>
    <row r="122" customFormat="false" ht="15" hidden="false" customHeight="true" outlineLevel="0" collapsed="false">
      <c r="A122" s="9" t="s">
        <v>77</v>
      </c>
      <c r="B122" s="18" t="s">
        <v>36</v>
      </c>
      <c r="C122" s="9" t="s">
        <v>219</v>
      </c>
      <c r="D122" s="18" t="s">
        <v>51</v>
      </c>
      <c r="E122" s="19" t="s">
        <v>322</v>
      </c>
    </row>
    <row r="123" customFormat="false" ht="15" hidden="false" customHeight="true" outlineLevel="0" collapsed="false">
      <c r="A123" s="9" t="s">
        <v>77</v>
      </c>
      <c r="B123" s="18" t="s">
        <v>37</v>
      </c>
      <c r="C123" s="9" t="s">
        <v>221</v>
      </c>
      <c r="D123" s="18" t="s">
        <v>49</v>
      </c>
      <c r="E123" s="19" t="s">
        <v>323</v>
      </c>
    </row>
    <row r="124" customFormat="false" ht="15" hidden="false" customHeight="true" outlineLevel="0" collapsed="false">
      <c r="A124" s="9" t="s">
        <v>80</v>
      </c>
      <c r="B124" s="18" t="s">
        <v>23</v>
      </c>
      <c r="C124" s="9" t="s">
        <v>193</v>
      </c>
      <c r="D124" s="18" t="s">
        <v>51</v>
      </c>
      <c r="E124" s="19" t="s">
        <v>324</v>
      </c>
    </row>
    <row r="125" customFormat="false" ht="15" hidden="false" customHeight="true" outlineLevel="0" collapsed="false">
      <c r="A125" s="9" t="s">
        <v>80</v>
      </c>
      <c r="B125" s="18" t="s">
        <v>24</v>
      </c>
      <c r="C125" s="9" t="s">
        <v>195</v>
      </c>
      <c r="D125" s="18" t="s">
        <v>49</v>
      </c>
      <c r="E125" s="19" t="s">
        <v>325</v>
      </c>
    </row>
    <row r="126" customFormat="false" ht="15" hidden="false" customHeight="true" outlineLevel="0" collapsed="false">
      <c r="A126" s="9" t="s">
        <v>80</v>
      </c>
      <c r="B126" s="18" t="s">
        <v>25</v>
      </c>
      <c r="C126" s="9" t="s">
        <v>197</v>
      </c>
      <c r="D126" s="18" t="s">
        <v>72</v>
      </c>
      <c r="E126" s="19" t="s">
        <v>326</v>
      </c>
    </row>
    <row r="127" customFormat="false" ht="15" hidden="false" customHeight="true" outlineLevel="0" collapsed="false">
      <c r="A127" s="9" t="s">
        <v>80</v>
      </c>
      <c r="B127" s="18" t="s">
        <v>26</v>
      </c>
      <c r="C127" s="9" t="s">
        <v>199</v>
      </c>
      <c r="D127" s="18" t="s">
        <v>72</v>
      </c>
      <c r="E127" s="19" t="s">
        <v>313</v>
      </c>
    </row>
    <row r="128" customFormat="false" ht="15" hidden="false" customHeight="true" outlineLevel="0" collapsed="false">
      <c r="A128" s="9" t="s">
        <v>80</v>
      </c>
      <c r="B128" s="18" t="s">
        <v>27</v>
      </c>
      <c r="C128" s="9" t="s">
        <v>201</v>
      </c>
      <c r="D128" s="18" t="s">
        <v>49</v>
      </c>
      <c r="E128" s="19" t="s">
        <v>327</v>
      </c>
    </row>
    <row r="129" customFormat="false" ht="15" hidden="false" customHeight="true" outlineLevel="0" collapsed="false">
      <c r="A129" s="9" t="s">
        <v>80</v>
      </c>
      <c r="B129" s="18" t="s">
        <v>28</v>
      </c>
      <c r="C129" s="9" t="s">
        <v>203</v>
      </c>
      <c r="D129" s="18" t="s">
        <v>51</v>
      </c>
      <c r="E129" s="19" t="s">
        <v>328</v>
      </c>
    </row>
    <row r="130" customFormat="false" ht="15" hidden="false" customHeight="true" outlineLevel="0" collapsed="false">
      <c r="A130" s="9" t="s">
        <v>80</v>
      </c>
      <c r="B130" s="18" t="s">
        <v>29</v>
      </c>
      <c r="C130" s="9" t="s">
        <v>205</v>
      </c>
      <c r="D130" s="18" t="s">
        <v>52</v>
      </c>
      <c r="E130" s="19" t="s">
        <v>329</v>
      </c>
    </row>
    <row r="131" customFormat="false" ht="15" hidden="false" customHeight="true" outlineLevel="0" collapsed="false">
      <c r="A131" s="9" t="s">
        <v>80</v>
      </c>
      <c r="B131" s="18" t="s">
        <v>30</v>
      </c>
      <c r="C131" s="9" t="s">
        <v>207</v>
      </c>
      <c r="D131" s="18" t="s">
        <v>49</v>
      </c>
      <c r="E131" s="19" t="s">
        <v>330</v>
      </c>
    </row>
    <row r="132" customFormat="false" ht="15" hidden="false" customHeight="true" outlineLevel="0" collapsed="false">
      <c r="A132" s="9" t="s">
        <v>80</v>
      </c>
      <c r="B132" s="18" t="s">
        <v>31</v>
      </c>
      <c r="C132" s="9" t="s">
        <v>209</v>
      </c>
      <c r="D132" s="18" t="s">
        <v>52</v>
      </c>
      <c r="E132" s="19" t="s">
        <v>331</v>
      </c>
    </row>
    <row r="133" customFormat="false" ht="15" hidden="false" customHeight="true" outlineLevel="0" collapsed="false">
      <c r="A133" s="9" t="s">
        <v>80</v>
      </c>
      <c r="B133" s="18" t="s">
        <v>32</v>
      </c>
      <c r="C133" s="9" t="s">
        <v>211</v>
      </c>
      <c r="D133" s="18" t="s">
        <v>58</v>
      </c>
      <c r="E133" s="19" t="s">
        <v>332</v>
      </c>
    </row>
    <row r="134" customFormat="false" ht="15" hidden="false" customHeight="true" outlineLevel="0" collapsed="false">
      <c r="A134" s="9" t="s">
        <v>80</v>
      </c>
      <c r="B134" s="18" t="s">
        <v>33</v>
      </c>
      <c r="C134" s="9" t="s">
        <v>213</v>
      </c>
      <c r="D134" s="18" t="s">
        <v>49</v>
      </c>
      <c r="E134" s="19" t="s">
        <v>291</v>
      </c>
    </row>
    <row r="135" customFormat="false" ht="15" hidden="false" customHeight="true" outlineLevel="0" collapsed="false">
      <c r="A135" s="9" t="s">
        <v>80</v>
      </c>
      <c r="B135" s="18" t="s">
        <v>34</v>
      </c>
      <c r="C135" s="9" t="s">
        <v>215</v>
      </c>
      <c r="D135" s="18" t="s">
        <v>52</v>
      </c>
      <c r="E135" s="19" t="s">
        <v>333</v>
      </c>
    </row>
    <row r="136" customFormat="false" ht="23.25" hidden="false" customHeight="true" outlineLevel="0" collapsed="false">
      <c r="A136" s="9" t="s">
        <v>80</v>
      </c>
      <c r="B136" s="18" t="s">
        <v>35</v>
      </c>
      <c r="C136" s="9" t="s">
        <v>217</v>
      </c>
      <c r="D136" s="18" t="s">
        <v>49</v>
      </c>
      <c r="E136" s="19" t="s">
        <v>334</v>
      </c>
    </row>
    <row r="137" customFormat="false" ht="15" hidden="false" customHeight="true" outlineLevel="0" collapsed="false">
      <c r="A137" s="9" t="s">
        <v>80</v>
      </c>
      <c r="B137" s="18" t="s">
        <v>36</v>
      </c>
      <c r="C137" s="9" t="s">
        <v>219</v>
      </c>
      <c r="D137" s="18" t="s">
        <v>51</v>
      </c>
      <c r="E137" s="19" t="s">
        <v>335</v>
      </c>
    </row>
    <row r="138" customFormat="false" ht="15" hidden="false" customHeight="true" outlineLevel="0" collapsed="false">
      <c r="A138" s="9" t="s">
        <v>80</v>
      </c>
      <c r="B138" s="18" t="s">
        <v>37</v>
      </c>
      <c r="C138" s="9" t="s">
        <v>221</v>
      </c>
      <c r="D138" s="18" t="s">
        <v>49</v>
      </c>
      <c r="E138" s="19" t="s">
        <v>252</v>
      </c>
    </row>
    <row r="139" customFormat="false" ht="15" hidden="false" customHeight="true" outlineLevel="0" collapsed="false">
      <c r="A139" s="9" t="s">
        <v>83</v>
      </c>
      <c r="B139" s="18" t="s">
        <v>23</v>
      </c>
      <c r="C139" s="9" t="s">
        <v>193</v>
      </c>
      <c r="D139" s="18" t="s">
        <v>51</v>
      </c>
      <c r="E139" s="19" t="s">
        <v>336</v>
      </c>
    </row>
    <row r="140" customFormat="false" ht="15" hidden="false" customHeight="true" outlineLevel="0" collapsed="false">
      <c r="A140" s="9" t="s">
        <v>83</v>
      </c>
      <c r="B140" s="18" t="s">
        <v>24</v>
      </c>
      <c r="C140" s="9" t="s">
        <v>195</v>
      </c>
      <c r="D140" s="18" t="s">
        <v>52</v>
      </c>
      <c r="E140" s="19" t="s">
        <v>337</v>
      </c>
    </row>
    <row r="141" customFormat="false" ht="15" hidden="false" customHeight="true" outlineLevel="0" collapsed="false">
      <c r="A141" s="9" t="s">
        <v>83</v>
      </c>
      <c r="B141" s="18" t="s">
        <v>25</v>
      </c>
      <c r="C141" s="9" t="s">
        <v>197</v>
      </c>
      <c r="D141" s="18" t="s">
        <v>49</v>
      </c>
      <c r="E141" s="19" t="s">
        <v>338</v>
      </c>
    </row>
    <row r="142" customFormat="false" ht="15" hidden="false" customHeight="true" outlineLevel="0" collapsed="false">
      <c r="A142" s="9" t="s">
        <v>83</v>
      </c>
      <c r="B142" s="18" t="s">
        <v>26</v>
      </c>
      <c r="C142" s="9" t="s">
        <v>199</v>
      </c>
      <c r="D142" s="18" t="s">
        <v>72</v>
      </c>
      <c r="E142" s="19" t="s">
        <v>339</v>
      </c>
    </row>
    <row r="143" customFormat="false" ht="15" hidden="false" customHeight="true" outlineLevel="0" collapsed="false">
      <c r="A143" s="9" t="s">
        <v>83</v>
      </c>
      <c r="B143" s="18" t="s">
        <v>27</v>
      </c>
      <c r="C143" s="9" t="s">
        <v>201</v>
      </c>
      <c r="D143" s="18" t="s">
        <v>49</v>
      </c>
      <c r="E143" s="19" t="s">
        <v>340</v>
      </c>
    </row>
    <row r="144" customFormat="false" ht="15" hidden="false" customHeight="true" outlineLevel="0" collapsed="false">
      <c r="A144" s="9" t="s">
        <v>83</v>
      </c>
      <c r="B144" s="18" t="s">
        <v>28</v>
      </c>
      <c r="C144" s="9" t="s">
        <v>203</v>
      </c>
      <c r="D144" s="18" t="s">
        <v>51</v>
      </c>
      <c r="E144" s="19" t="s">
        <v>341</v>
      </c>
    </row>
    <row r="145" customFormat="false" ht="15" hidden="false" customHeight="true" outlineLevel="0" collapsed="false">
      <c r="A145" s="9" t="s">
        <v>83</v>
      </c>
      <c r="B145" s="18" t="s">
        <v>29</v>
      </c>
      <c r="C145" s="9" t="s">
        <v>205</v>
      </c>
      <c r="D145" s="18" t="s">
        <v>52</v>
      </c>
      <c r="E145" s="19" t="s">
        <v>342</v>
      </c>
    </row>
    <row r="146" customFormat="false" ht="15" hidden="false" customHeight="true" outlineLevel="0" collapsed="false">
      <c r="A146" s="9" t="s">
        <v>83</v>
      </c>
      <c r="B146" s="18" t="s">
        <v>30</v>
      </c>
      <c r="C146" s="9" t="s">
        <v>207</v>
      </c>
      <c r="D146" s="18" t="s">
        <v>52</v>
      </c>
      <c r="E146" s="19" t="s">
        <v>343</v>
      </c>
    </row>
    <row r="147" customFormat="false" ht="15" hidden="false" customHeight="true" outlineLevel="0" collapsed="false">
      <c r="A147" s="9" t="s">
        <v>83</v>
      </c>
      <c r="B147" s="18" t="s">
        <v>31</v>
      </c>
      <c r="C147" s="9" t="s">
        <v>209</v>
      </c>
      <c r="D147" s="18" t="s">
        <v>51</v>
      </c>
      <c r="E147" s="19" t="s">
        <v>344</v>
      </c>
    </row>
    <row r="148" customFormat="false" ht="15" hidden="false" customHeight="true" outlineLevel="0" collapsed="false">
      <c r="A148" s="9" t="s">
        <v>83</v>
      </c>
      <c r="B148" s="18" t="s">
        <v>32</v>
      </c>
      <c r="C148" s="9" t="s">
        <v>211</v>
      </c>
      <c r="D148" s="18" t="s">
        <v>51</v>
      </c>
      <c r="E148" s="19" t="s">
        <v>345</v>
      </c>
    </row>
    <row r="149" customFormat="false" ht="15" hidden="false" customHeight="true" outlineLevel="0" collapsed="false">
      <c r="A149" s="9" t="s">
        <v>83</v>
      </c>
      <c r="B149" s="18" t="s">
        <v>33</v>
      </c>
      <c r="C149" s="9" t="s">
        <v>213</v>
      </c>
      <c r="D149" s="18" t="s">
        <v>49</v>
      </c>
      <c r="E149" s="19" t="s">
        <v>248</v>
      </c>
    </row>
    <row r="150" customFormat="false" ht="15" hidden="false" customHeight="true" outlineLevel="0" collapsed="false">
      <c r="A150" s="9" t="s">
        <v>83</v>
      </c>
      <c r="B150" s="18" t="s">
        <v>34</v>
      </c>
      <c r="C150" s="9" t="s">
        <v>215</v>
      </c>
      <c r="D150" s="18" t="s">
        <v>50</v>
      </c>
      <c r="E150" s="19" t="s">
        <v>216</v>
      </c>
    </row>
    <row r="151" customFormat="false" ht="15" hidden="false" customHeight="true" outlineLevel="0" collapsed="false">
      <c r="A151" s="9" t="s">
        <v>83</v>
      </c>
      <c r="B151" s="18" t="s">
        <v>35</v>
      </c>
      <c r="C151" s="9" t="s">
        <v>217</v>
      </c>
      <c r="D151" s="18"/>
      <c r="E151" s="19" t="s">
        <v>346</v>
      </c>
    </row>
    <row r="152" customFormat="false" ht="15" hidden="false" customHeight="true" outlineLevel="0" collapsed="false">
      <c r="A152" s="9" t="s">
        <v>83</v>
      </c>
      <c r="B152" s="18" t="s">
        <v>36</v>
      </c>
      <c r="C152" s="9" t="s">
        <v>219</v>
      </c>
      <c r="D152" s="18" t="s">
        <v>51</v>
      </c>
      <c r="E152" s="19" t="s">
        <v>347</v>
      </c>
    </row>
    <row r="153" customFormat="false" ht="15" hidden="false" customHeight="true" outlineLevel="0" collapsed="false">
      <c r="A153" s="9" t="s">
        <v>83</v>
      </c>
      <c r="B153" s="18" t="s">
        <v>37</v>
      </c>
      <c r="C153" s="9" t="s">
        <v>221</v>
      </c>
      <c r="D153" s="18" t="s">
        <v>49</v>
      </c>
      <c r="E153" s="19" t="s">
        <v>348</v>
      </c>
    </row>
    <row r="154" customFormat="false" ht="15" hidden="false" customHeight="true" outlineLevel="0" collapsed="false">
      <c r="A154" s="9" t="s">
        <v>86</v>
      </c>
      <c r="B154" s="18" t="s">
        <v>23</v>
      </c>
      <c r="C154" s="9" t="s">
        <v>193</v>
      </c>
      <c r="D154" s="18" t="s">
        <v>49</v>
      </c>
      <c r="E154" s="19" t="s">
        <v>349</v>
      </c>
    </row>
    <row r="155" customFormat="false" ht="15" hidden="false" customHeight="true" outlineLevel="0" collapsed="false">
      <c r="A155" s="9" t="s">
        <v>86</v>
      </c>
      <c r="B155" s="18" t="s">
        <v>24</v>
      </c>
      <c r="C155" s="9" t="s">
        <v>195</v>
      </c>
      <c r="D155" s="18" t="s">
        <v>49</v>
      </c>
      <c r="E155" s="19" t="s">
        <v>350</v>
      </c>
    </row>
    <row r="156" customFormat="false" ht="15" hidden="false" customHeight="true" outlineLevel="0" collapsed="false">
      <c r="A156" s="9" t="s">
        <v>86</v>
      </c>
      <c r="B156" s="18" t="s">
        <v>25</v>
      </c>
      <c r="C156" s="9" t="s">
        <v>197</v>
      </c>
      <c r="D156" s="18" t="s">
        <v>58</v>
      </c>
      <c r="E156" s="19" t="s">
        <v>351</v>
      </c>
    </row>
    <row r="157" customFormat="false" ht="15" hidden="false" customHeight="true" outlineLevel="0" collapsed="false">
      <c r="A157" s="9" t="s">
        <v>86</v>
      </c>
      <c r="B157" s="18" t="s">
        <v>26</v>
      </c>
      <c r="C157" s="9" t="s">
        <v>199</v>
      </c>
      <c r="D157" s="18" t="s">
        <v>51</v>
      </c>
      <c r="E157" s="19" t="s">
        <v>352</v>
      </c>
    </row>
    <row r="158" customFormat="false" ht="15" hidden="false" customHeight="true" outlineLevel="0" collapsed="false">
      <c r="A158" s="9" t="s">
        <v>86</v>
      </c>
      <c r="B158" s="18" t="s">
        <v>27</v>
      </c>
      <c r="C158" s="9" t="s">
        <v>201</v>
      </c>
      <c r="D158" s="18" t="s">
        <v>49</v>
      </c>
      <c r="E158" s="19" t="s">
        <v>353</v>
      </c>
    </row>
    <row r="159" customFormat="false" ht="15" hidden="false" customHeight="true" outlineLevel="0" collapsed="false">
      <c r="A159" s="9" t="s">
        <v>86</v>
      </c>
      <c r="B159" s="18" t="s">
        <v>28</v>
      </c>
      <c r="C159" s="9" t="s">
        <v>203</v>
      </c>
      <c r="D159" s="18" t="s">
        <v>58</v>
      </c>
      <c r="E159" s="19" t="s">
        <v>354</v>
      </c>
    </row>
    <row r="160" customFormat="false" ht="15" hidden="false" customHeight="true" outlineLevel="0" collapsed="false">
      <c r="A160" s="9" t="s">
        <v>86</v>
      </c>
      <c r="B160" s="18" t="s">
        <v>29</v>
      </c>
      <c r="C160" s="9" t="s">
        <v>205</v>
      </c>
      <c r="D160" s="18" t="s">
        <v>51</v>
      </c>
      <c r="E160" s="19" t="s">
        <v>355</v>
      </c>
    </row>
    <row r="161" customFormat="false" ht="15" hidden="false" customHeight="true" outlineLevel="0" collapsed="false">
      <c r="A161" s="9" t="s">
        <v>86</v>
      </c>
      <c r="B161" s="18" t="s">
        <v>30</v>
      </c>
      <c r="C161" s="9" t="s">
        <v>207</v>
      </c>
      <c r="D161" s="18" t="s">
        <v>49</v>
      </c>
      <c r="E161" s="19" t="s">
        <v>356</v>
      </c>
    </row>
    <row r="162" customFormat="false" ht="15" hidden="false" customHeight="true" outlineLevel="0" collapsed="false">
      <c r="A162" s="9" t="s">
        <v>86</v>
      </c>
      <c r="B162" s="18" t="s">
        <v>31</v>
      </c>
      <c r="C162" s="9" t="s">
        <v>209</v>
      </c>
      <c r="D162" s="18" t="s">
        <v>51</v>
      </c>
      <c r="E162" s="19" t="s">
        <v>357</v>
      </c>
    </row>
    <row r="163" customFormat="false" ht="15" hidden="false" customHeight="true" outlineLevel="0" collapsed="false">
      <c r="A163" s="9" t="s">
        <v>86</v>
      </c>
      <c r="B163" s="18" t="s">
        <v>32</v>
      </c>
      <c r="C163" s="9" t="s">
        <v>211</v>
      </c>
      <c r="D163" s="18" t="s">
        <v>58</v>
      </c>
      <c r="E163" s="19" t="s">
        <v>358</v>
      </c>
    </row>
    <row r="164" customFormat="false" ht="15" hidden="false" customHeight="true" outlineLevel="0" collapsed="false">
      <c r="A164" s="9" t="s">
        <v>86</v>
      </c>
      <c r="B164" s="18" t="s">
        <v>33</v>
      </c>
      <c r="C164" s="9" t="s">
        <v>213</v>
      </c>
      <c r="D164" s="18" t="s">
        <v>49</v>
      </c>
      <c r="E164" s="19" t="s">
        <v>248</v>
      </c>
    </row>
    <row r="165" customFormat="false" ht="23.25" hidden="false" customHeight="true" outlineLevel="0" collapsed="false">
      <c r="A165" s="9" t="s">
        <v>86</v>
      </c>
      <c r="B165" s="18" t="s">
        <v>34</v>
      </c>
      <c r="C165" s="9" t="s">
        <v>215</v>
      </c>
      <c r="D165" s="18" t="s">
        <v>52</v>
      </c>
      <c r="E165" s="19" t="s">
        <v>359</v>
      </c>
    </row>
    <row r="166" customFormat="false" ht="15" hidden="false" customHeight="true" outlineLevel="0" collapsed="false">
      <c r="A166" s="9" t="s">
        <v>86</v>
      </c>
      <c r="B166" s="18" t="s">
        <v>35</v>
      </c>
      <c r="C166" s="9" t="s">
        <v>217</v>
      </c>
      <c r="D166" s="18"/>
      <c r="E166" s="19" t="s">
        <v>360</v>
      </c>
    </row>
    <row r="167" customFormat="false" ht="15" hidden="false" customHeight="true" outlineLevel="0" collapsed="false">
      <c r="A167" s="9" t="s">
        <v>86</v>
      </c>
      <c r="B167" s="18" t="s">
        <v>36</v>
      </c>
      <c r="C167" s="9" t="s">
        <v>219</v>
      </c>
      <c r="D167" s="18" t="s">
        <v>49</v>
      </c>
      <c r="E167" s="19" t="s">
        <v>361</v>
      </c>
    </row>
    <row r="168" customFormat="false" ht="15" hidden="false" customHeight="true" outlineLevel="0" collapsed="false">
      <c r="A168" s="9" t="s">
        <v>86</v>
      </c>
      <c r="B168" s="18" t="s">
        <v>37</v>
      </c>
      <c r="C168" s="9" t="s">
        <v>221</v>
      </c>
      <c r="D168" s="18" t="s">
        <v>52</v>
      </c>
      <c r="E168" s="19" t="s">
        <v>362</v>
      </c>
    </row>
    <row r="169" customFormat="false" ht="15" hidden="false" customHeight="true" outlineLevel="0" collapsed="false">
      <c r="A169" s="9" t="s">
        <v>88</v>
      </c>
      <c r="B169" s="18" t="s">
        <v>23</v>
      </c>
      <c r="C169" s="9" t="s">
        <v>193</v>
      </c>
      <c r="D169" s="18" t="s">
        <v>49</v>
      </c>
      <c r="E169" s="19" t="s">
        <v>363</v>
      </c>
    </row>
    <row r="170" customFormat="false" ht="15" hidden="false" customHeight="true" outlineLevel="0" collapsed="false">
      <c r="A170" s="9" t="s">
        <v>88</v>
      </c>
      <c r="B170" s="18" t="s">
        <v>24</v>
      </c>
      <c r="C170" s="9" t="s">
        <v>195</v>
      </c>
      <c r="D170" s="18" t="s">
        <v>49</v>
      </c>
      <c r="E170" s="19" t="s">
        <v>364</v>
      </c>
    </row>
    <row r="171" customFormat="false" ht="15" hidden="false" customHeight="true" outlineLevel="0" collapsed="false">
      <c r="A171" s="9" t="s">
        <v>88</v>
      </c>
      <c r="B171" s="18" t="s">
        <v>25</v>
      </c>
      <c r="C171" s="9" t="s">
        <v>197</v>
      </c>
      <c r="D171" s="18"/>
      <c r="E171" s="19" t="s">
        <v>312</v>
      </c>
    </row>
    <row r="172" customFormat="false" ht="15" hidden="false" customHeight="true" outlineLevel="0" collapsed="false">
      <c r="A172" s="9" t="s">
        <v>88</v>
      </c>
      <c r="B172" s="18" t="s">
        <v>26</v>
      </c>
      <c r="C172" s="9" t="s">
        <v>199</v>
      </c>
      <c r="D172" s="18" t="s">
        <v>51</v>
      </c>
      <c r="E172" s="19" t="s">
        <v>365</v>
      </c>
    </row>
    <row r="173" customFormat="false" ht="15" hidden="false" customHeight="true" outlineLevel="0" collapsed="false">
      <c r="A173" s="9" t="s">
        <v>88</v>
      </c>
      <c r="B173" s="18" t="s">
        <v>27</v>
      </c>
      <c r="C173" s="9" t="s">
        <v>201</v>
      </c>
      <c r="D173" s="18" t="s">
        <v>49</v>
      </c>
      <c r="E173" s="19" t="s">
        <v>366</v>
      </c>
    </row>
    <row r="174" customFormat="false" ht="15" hidden="false" customHeight="true" outlineLevel="0" collapsed="false">
      <c r="A174" s="9" t="s">
        <v>88</v>
      </c>
      <c r="B174" s="18" t="s">
        <v>28</v>
      </c>
      <c r="C174" s="9" t="s">
        <v>203</v>
      </c>
      <c r="D174" s="18" t="s">
        <v>49</v>
      </c>
      <c r="E174" s="19" t="s">
        <v>367</v>
      </c>
    </row>
    <row r="175" customFormat="false" ht="15" hidden="false" customHeight="true" outlineLevel="0" collapsed="false">
      <c r="A175" s="9" t="s">
        <v>88</v>
      </c>
      <c r="B175" s="18" t="s">
        <v>29</v>
      </c>
      <c r="C175" s="9" t="s">
        <v>205</v>
      </c>
      <c r="D175" s="18" t="s">
        <v>52</v>
      </c>
      <c r="E175" s="19" t="s">
        <v>368</v>
      </c>
    </row>
    <row r="176" customFormat="false" ht="15" hidden="false" customHeight="true" outlineLevel="0" collapsed="false">
      <c r="A176" s="9" t="s">
        <v>88</v>
      </c>
      <c r="B176" s="18" t="s">
        <v>30</v>
      </c>
      <c r="C176" s="9" t="s">
        <v>207</v>
      </c>
      <c r="D176" s="18" t="s">
        <v>52</v>
      </c>
      <c r="E176" s="19" t="s">
        <v>369</v>
      </c>
    </row>
    <row r="177" customFormat="false" ht="15" hidden="false" customHeight="true" outlineLevel="0" collapsed="false">
      <c r="A177" s="9" t="s">
        <v>88</v>
      </c>
      <c r="B177" s="18" t="s">
        <v>31</v>
      </c>
      <c r="C177" s="9" t="s">
        <v>209</v>
      </c>
      <c r="D177" s="18" t="s">
        <v>51</v>
      </c>
      <c r="E177" s="19" t="s">
        <v>370</v>
      </c>
    </row>
    <row r="178" customFormat="false" ht="15" hidden="false" customHeight="true" outlineLevel="0" collapsed="false">
      <c r="A178" s="9" t="s">
        <v>88</v>
      </c>
      <c r="B178" s="18" t="s">
        <v>32</v>
      </c>
      <c r="C178" s="9" t="s">
        <v>211</v>
      </c>
      <c r="D178" s="18" t="s">
        <v>51</v>
      </c>
      <c r="E178" s="19" t="s">
        <v>371</v>
      </c>
    </row>
    <row r="179" customFormat="false" ht="15" hidden="false" customHeight="true" outlineLevel="0" collapsed="false">
      <c r="A179" s="9" t="s">
        <v>88</v>
      </c>
      <c r="B179" s="18" t="s">
        <v>33</v>
      </c>
      <c r="C179" s="9" t="s">
        <v>213</v>
      </c>
      <c r="D179" s="18" t="s">
        <v>49</v>
      </c>
      <c r="E179" s="19" t="s">
        <v>291</v>
      </c>
    </row>
    <row r="180" customFormat="false" ht="15" hidden="false" customHeight="true" outlineLevel="0" collapsed="false">
      <c r="A180" s="9" t="s">
        <v>88</v>
      </c>
      <c r="B180" s="18" t="s">
        <v>34</v>
      </c>
      <c r="C180" s="9" t="s">
        <v>215</v>
      </c>
      <c r="D180" s="18" t="s">
        <v>52</v>
      </c>
      <c r="E180" s="19" t="s">
        <v>372</v>
      </c>
    </row>
    <row r="181" customFormat="false" ht="15" hidden="false" customHeight="true" outlineLevel="0" collapsed="false">
      <c r="A181" s="9" t="s">
        <v>88</v>
      </c>
      <c r="B181" s="18" t="s">
        <v>35</v>
      </c>
      <c r="C181" s="9" t="s">
        <v>217</v>
      </c>
      <c r="D181" s="18"/>
      <c r="E181" s="19" t="s">
        <v>373</v>
      </c>
    </row>
    <row r="182" customFormat="false" ht="15" hidden="false" customHeight="true" outlineLevel="0" collapsed="false">
      <c r="A182" s="9" t="s">
        <v>88</v>
      </c>
      <c r="B182" s="18" t="s">
        <v>36</v>
      </c>
      <c r="C182" s="9" t="s">
        <v>219</v>
      </c>
      <c r="D182" s="18" t="s">
        <v>51</v>
      </c>
      <c r="E182" s="19" t="s">
        <v>374</v>
      </c>
    </row>
    <row r="183" customFormat="false" ht="15" hidden="false" customHeight="true" outlineLevel="0" collapsed="false">
      <c r="A183" s="9" t="s">
        <v>88</v>
      </c>
      <c r="B183" s="18" t="s">
        <v>37</v>
      </c>
      <c r="C183" s="9" t="s">
        <v>221</v>
      </c>
      <c r="D183" s="18" t="s">
        <v>51</v>
      </c>
      <c r="E183" s="19" t="s">
        <v>375</v>
      </c>
    </row>
    <row r="184" customFormat="false" ht="15" hidden="false" customHeight="true" outlineLevel="0" collapsed="false">
      <c r="A184" s="9" t="s">
        <v>91</v>
      </c>
      <c r="B184" s="18" t="s">
        <v>23</v>
      </c>
      <c r="C184" s="9" t="s">
        <v>193</v>
      </c>
      <c r="D184" s="18" t="s">
        <v>49</v>
      </c>
      <c r="E184" s="19" t="s">
        <v>376</v>
      </c>
    </row>
    <row r="185" customFormat="false" ht="15" hidden="false" customHeight="true" outlineLevel="0" collapsed="false">
      <c r="A185" s="9" t="s">
        <v>91</v>
      </c>
      <c r="B185" s="18" t="s">
        <v>24</v>
      </c>
      <c r="C185" s="9" t="s">
        <v>195</v>
      </c>
      <c r="D185" s="18" t="s">
        <v>49</v>
      </c>
      <c r="E185" s="19" t="s">
        <v>377</v>
      </c>
    </row>
    <row r="186" customFormat="false" ht="15" hidden="false" customHeight="true" outlineLevel="0" collapsed="false">
      <c r="A186" s="9" t="s">
        <v>91</v>
      </c>
      <c r="B186" s="18" t="s">
        <v>25</v>
      </c>
      <c r="C186" s="9" t="s">
        <v>197</v>
      </c>
      <c r="D186" s="18" t="s">
        <v>72</v>
      </c>
      <c r="E186" s="19" t="s">
        <v>378</v>
      </c>
    </row>
    <row r="187" customFormat="false" ht="15" hidden="false" customHeight="true" outlineLevel="0" collapsed="false">
      <c r="A187" s="9" t="s">
        <v>91</v>
      </c>
      <c r="B187" s="18" t="s">
        <v>26</v>
      </c>
      <c r="C187" s="9" t="s">
        <v>199</v>
      </c>
      <c r="D187" s="18" t="s">
        <v>51</v>
      </c>
      <c r="E187" s="19" t="s">
        <v>379</v>
      </c>
    </row>
    <row r="188" customFormat="false" ht="15" hidden="false" customHeight="true" outlineLevel="0" collapsed="false">
      <c r="A188" s="9" t="s">
        <v>91</v>
      </c>
      <c r="B188" s="18" t="s">
        <v>27</v>
      </c>
      <c r="C188" s="9" t="s">
        <v>201</v>
      </c>
      <c r="D188" s="18" t="s">
        <v>52</v>
      </c>
      <c r="E188" s="19" t="s">
        <v>380</v>
      </c>
    </row>
    <row r="189" customFormat="false" ht="15" hidden="false" customHeight="true" outlineLevel="0" collapsed="false">
      <c r="A189" s="9" t="s">
        <v>91</v>
      </c>
      <c r="B189" s="18" t="s">
        <v>28</v>
      </c>
      <c r="C189" s="9" t="s">
        <v>203</v>
      </c>
      <c r="D189" s="18"/>
      <c r="E189" s="19" t="s">
        <v>381</v>
      </c>
    </row>
    <row r="190" customFormat="false" ht="15" hidden="false" customHeight="true" outlineLevel="0" collapsed="false">
      <c r="A190" s="9" t="s">
        <v>91</v>
      </c>
      <c r="B190" s="18" t="s">
        <v>29</v>
      </c>
      <c r="C190" s="9" t="s">
        <v>205</v>
      </c>
      <c r="D190" s="18" t="s">
        <v>51</v>
      </c>
      <c r="E190" s="19" t="s">
        <v>382</v>
      </c>
    </row>
    <row r="191" customFormat="false" ht="23.25" hidden="false" customHeight="true" outlineLevel="0" collapsed="false">
      <c r="A191" s="9" t="s">
        <v>91</v>
      </c>
      <c r="B191" s="18" t="s">
        <v>30</v>
      </c>
      <c r="C191" s="9" t="s">
        <v>207</v>
      </c>
      <c r="D191" s="18" t="s">
        <v>51</v>
      </c>
      <c r="E191" s="19" t="s">
        <v>383</v>
      </c>
    </row>
    <row r="192" customFormat="false" ht="15" hidden="false" customHeight="true" outlineLevel="0" collapsed="false">
      <c r="A192" s="9" t="s">
        <v>91</v>
      </c>
      <c r="B192" s="18" t="s">
        <v>31</v>
      </c>
      <c r="C192" s="9" t="s">
        <v>209</v>
      </c>
      <c r="D192" s="18" t="s">
        <v>51</v>
      </c>
      <c r="E192" s="19" t="s">
        <v>384</v>
      </c>
    </row>
    <row r="193" customFormat="false" ht="15" hidden="false" customHeight="true" outlineLevel="0" collapsed="false">
      <c r="A193" s="9" t="s">
        <v>91</v>
      </c>
      <c r="B193" s="18" t="s">
        <v>32</v>
      </c>
      <c r="C193" s="9" t="s">
        <v>211</v>
      </c>
      <c r="D193" s="18" t="s">
        <v>51</v>
      </c>
      <c r="E193" s="19" t="s">
        <v>385</v>
      </c>
    </row>
    <row r="194" customFormat="false" ht="15" hidden="false" customHeight="true" outlineLevel="0" collapsed="false">
      <c r="A194" s="9" t="s">
        <v>91</v>
      </c>
      <c r="B194" s="18" t="s">
        <v>33</v>
      </c>
      <c r="C194" s="9" t="s">
        <v>213</v>
      </c>
      <c r="D194" s="18" t="s">
        <v>49</v>
      </c>
      <c r="E194" s="19" t="s">
        <v>386</v>
      </c>
    </row>
    <row r="195" customFormat="false" ht="15" hidden="false" customHeight="true" outlineLevel="0" collapsed="false">
      <c r="A195" s="9" t="s">
        <v>91</v>
      </c>
      <c r="B195" s="18" t="s">
        <v>34</v>
      </c>
      <c r="C195" s="9" t="s">
        <v>215</v>
      </c>
      <c r="D195" s="18" t="s">
        <v>49</v>
      </c>
      <c r="E195" s="19" t="s">
        <v>387</v>
      </c>
    </row>
    <row r="196" customFormat="false" ht="15" hidden="false" customHeight="true" outlineLevel="0" collapsed="false">
      <c r="A196" s="9" t="s">
        <v>91</v>
      </c>
      <c r="B196" s="18" t="s">
        <v>35</v>
      </c>
      <c r="C196" s="9" t="s">
        <v>217</v>
      </c>
      <c r="D196" s="18"/>
      <c r="E196" s="19" t="s">
        <v>346</v>
      </c>
    </row>
    <row r="197" customFormat="false" ht="15" hidden="false" customHeight="true" outlineLevel="0" collapsed="false">
      <c r="A197" s="9" t="s">
        <v>91</v>
      </c>
      <c r="B197" s="18" t="s">
        <v>36</v>
      </c>
      <c r="C197" s="9" t="s">
        <v>219</v>
      </c>
      <c r="D197" s="18" t="s">
        <v>58</v>
      </c>
      <c r="E197" s="19" t="s">
        <v>388</v>
      </c>
    </row>
    <row r="198" customFormat="false" ht="15" hidden="false" customHeight="true" outlineLevel="0" collapsed="false">
      <c r="A198" s="9" t="s">
        <v>91</v>
      </c>
      <c r="B198" s="18" t="s">
        <v>37</v>
      </c>
      <c r="C198" s="9" t="s">
        <v>221</v>
      </c>
      <c r="D198" s="18" t="s">
        <v>49</v>
      </c>
      <c r="E198" s="19" t="s">
        <v>389</v>
      </c>
    </row>
    <row r="199" customFormat="false" ht="15" hidden="false" customHeight="true" outlineLevel="0" collapsed="false">
      <c r="A199" s="9" t="s">
        <v>94</v>
      </c>
      <c r="B199" s="18" t="s">
        <v>23</v>
      </c>
      <c r="C199" s="9" t="s">
        <v>193</v>
      </c>
      <c r="D199" s="18" t="s">
        <v>49</v>
      </c>
      <c r="E199" s="19" t="s">
        <v>390</v>
      </c>
    </row>
    <row r="200" customFormat="false" ht="15" hidden="false" customHeight="true" outlineLevel="0" collapsed="false">
      <c r="A200" s="9" t="s">
        <v>94</v>
      </c>
      <c r="B200" s="18" t="s">
        <v>24</v>
      </c>
      <c r="C200" s="9" t="s">
        <v>195</v>
      </c>
      <c r="D200" s="18" t="s">
        <v>49</v>
      </c>
      <c r="E200" s="19" t="s">
        <v>391</v>
      </c>
    </row>
    <row r="201" customFormat="false" ht="15" hidden="false" customHeight="true" outlineLevel="0" collapsed="false">
      <c r="A201" s="9" t="s">
        <v>94</v>
      </c>
      <c r="B201" s="18" t="s">
        <v>25</v>
      </c>
      <c r="C201" s="9" t="s">
        <v>197</v>
      </c>
      <c r="D201" s="18" t="s">
        <v>49</v>
      </c>
      <c r="E201" s="19" t="s">
        <v>392</v>
      </c>
    </row>
    <row r="202" customFormat="false" ht="15" hidden="false" customHeight="true" outlineLevel="0" collapsed="false">
      <c r="A202" s="9" t="s">
        <v>94</v>
      </c>
      <c r="B202" s="18" t="s">
        <v>26</v>
      </c>
      <c r="C202" s="9" t="s">
        <v>199</v>
      </c>
      <c r="D202" s="18" t="s">
        <v>50</v>
      </c>
      <c r="E202" s="19" t="s">
        <v>200</v>
      </c>
    </row>
    <row r="203" customFormat="false" ht="15" hidden="false" customHeight="true" outlineLevel="0" collapsed="false">
      <c r="A203" s="9" t="s">
        <v>94</v>
      </c>
      <c r="B203" s="18" t="s">
        <v>27</v>
      </c>
      <c r="C203" s="9" t="s">
        <v>201</v>
      </c>
      <c r="D203" s="18" t="s">
        <v>49</v>
      </c>
      <c r="E203" s="19" t="s">
        <v>393</v>
      </c>
    </row>
    <row r="204" customFormat="false" ht="15" hidden="false" customHeight="true" outlineLevel="0" collapsed="false">
      <c r="A204" s="9" t="s">
        <v>94</v>
      </c>
      <c r="B204" s="18" t="s">
        <v>28</v>
      </c>
      <c r="C204" s="9" t="s">
        <v>203</v>
      </c>
      <c r="D204" s="18" t="s">
        <v>58</v>
      </c>
      <c r="E204" s="19" t="s">
        <v>394</v>
      </c>
    </row>
    <row r="205" customFormat="false" ht="15" hidden="false" customHeight="true" outlineLevel="0" collapsed="false">
      <c r="A205" s="9" t="s">
        <v>94</v>
      </c>
      <c r="B205" s="18" t="s">
        <v>29</v>
      </c>
      <c r="C205" s="9" t="s">
        <v>205</v>
      </c>
      <c r="D205" s="18" t="s">
        <v>58</v>
      </c>
      <c r="E205" s="19" t="s">
        <v>395</v>
      </c>
    </row>
    <row r="206" customFormat="false" ht="15" hidden="false" customHeight="true" outlineLevel="0" collapsed="false">
      <c r="A206" s="9" t="s">
        <v>94</v>
      </c>
      <c r="B206" s="18" t="s">
        <v>30</v>
      </c>
      <c r="C206" s="9" t="s">
        <v>207</v>
      </c>
      <c r="D206" s="18" t="s">
        <v>52</v>
      </c>
      <c r="E206" s="19" t="s">
        <v>396</v>
      </c>
    </row>
    <row r="207" customFormat="false" ht="15" hidden="false" customHeight="true" outlineLevel="0" collapsed="false">
      <c r="A207" s="9" t="s">
        <v>94</v>
      </c>
      <c r="B207" s="18" t="s">
        <v>31</v>
      </c>
      <c r="C207" s="9" t="s">
        <v>209</v>
      </c>
      <c r="D207" s="18" t="s">
        <v>51</v>
      </c>
      <c r="E207" s="19" t="s">
        <v>397</v>
      </c>
    </row>
    <row r="208" customFormat="false" ht="15" hidden="false" customHeight="true" outlineLevel="0" collapsed="false">
      <c r="A208" s="9" t="s">
        <v>94</v>
      </c>
      <c r="B208" s="18" t="s">
        <v>32</v>
      </c>
      <c r="C208" s="9" t="s">
        <v>211</v>
      </c>
      <c r="D208" s="18" t="s">
        <v>49</v>
      </c>
      <c r="E208" s="19" t="s">
        <v>247</v>
      </c>
    </row>
    <row r="209" customFormat="false" ht="15" hidden="false" customHeight="true" outlineLevel="0" collapsed="false">
      <c r="A209" s="9" t="s">
        <v>94</v>
      </c>
      <c r="B209" s="18" t="s">
        <v>33</v>
      </c>
      <c r="C209" s="9" t="s">
        <v>213</v>
      </c>
      <c r="D209" s="18" t="s">
        <v>49</v>
      </c>
      <c r="E209" s="19" t="s">
        <v>398</v>
      </c>
    </row>
    <row r="210" customFormat="false" ht="15" hidden="false" customHeight="true" outlineLevel="0" collapsed="false">
      <c r="A210" s="9" t="s">
        <v>94</v>
      </c>
      <c r="B210" s="18" t="s">
        <v>34</v>
      </c>
      <c r="C210" s="9" t="s">
        <v>215</v>
      </c>
      <c r="D210" s="18" t="s">
        <v>50</v>
      </c>
      <c r="E210" s="19" t="s">
        <v>216</v>
      </c>
    </row>
    <row r="211" customFormat="false" ht="15" hidden="false" customHeight="true" outlineLevel="0" collapsed="false">
      <c r="A211" s="9" t="s">
        <v>94</v>
      </c>
      <c r="B211" s="18" t="s">
        <v>35</v>
      </c>
      <c r="C211" s="9" t="s">
        <v>217</v>
      </c>
      <c r="D211" s="18"/>
      <c r="E211" s="19" t="s">
        <v>346</v>
      </c>
    </row>
    <row r="212" customFormat="false" ht="15" hidden="false" customHeight="true" outlineLevel="0" collapsed="false">
      <c r="A212" s="9" t="s">
        <v>94</v>
      </c>
      <c r="B212" s="18" t="s">
        <v>36</v>
      </c>
      <c r="C212" s="9" t="s">
        <v>219</v>
      </c>
      <c r="D212" s="18" t="s">
        <v>52</v>
      </c>
      <c r="E212" s="19" t="s">
        <v>399</v>
      </c>
    </row>
    <row r="213" customFormat="false" ht="15" hidden="false" customHeight="true" outlineLevel="0" collapsed="false">
      <c r="A213" s="9" t="s">
        <v>94</v>
      </c>
      <c r="B213" s="18" t="s">
        <v>37</v>
      </c>
      <c r="C213" s="9" t="s">
        <v>221</v>
      </c>
      <c r="D213" s="18" t="s">
        <v>49</v>
      </c>
      <c r="E213" s="19" t="s">
        <v>400</v>
      </c>
    </row>
    <row r="214" customFormat="false" ht="15" hidden="false" customHeight="true" outlineLevel="0" collapsed="false">
      <c r="A214" s="9" t="s">
        <v>97</v>
      </c>
      <c r="B214" s="18" t="s">
        <v>23</v>
      </c>
      <c r="C214" s="9" t="s">
        <v>193</v>
      </c>
      <c r="D214" s="18" t="s">
        <v>49</v>
      </c>
      <c r="E214" s="19" t="s">
        <v>401</v>
      </c>
    </row>
    <row r="215" customFormat="false" ht="15" hidden="false" customHeight="true" outlineLevel="0" collapsed="false">
      <c r="A215" s="9" t="s">
        <v>97</v>
      </c>
      <c r="B215" s="18" t="s">
        <v>24</v>
      </c>
      <c r="C215" s="9" t="s">
        <v>195</v>
      </c>
      <c r="D215" s="18" t="s">
        <v>49</v>
      </c>
      <c r="E215" s="19" t="s">
        <v>402</v>
      </c>
    </row>
    <row r="216" customFormat="false" ht="15" hidden="false" customHeight="true" outlineLevel="0" collapsed="false">
      <c r="A216" s="9" t="s">
        <v>97</v>
      </c>
      <c r="B216" s="18" t="s">
        <v>25</v>
      </c>
      <c r="C216" s="9" t="s">
        <v>197</v>
      </c>
      <c r="D216" s="18" t="s">
        <v>52</v>
      </c>
      <c r="E216" s="19" t="s">
        <v>403</v>
      </c>
    </row>
    <row r="217" customFormat="false" ht="15" hidden="false" customHeight="true" outlineLevel="0" collapsed="false">
      <c r="A217" s="9" t="s">
        <v>97</v>
      </c>
      <c r="B217" s="18" t="s">
        <v>26</v>
      </c>
      <c r="C217" s="9" t="s">
        <v>199</v>
      </c>
      <c r="D217" s="18" t="s">
        <v>50</v>
      </c>
      <c r="E217" s="19" t="s">
        <v>200</v>
      </c>
    </row>
    <row r="218" customFormat="false" ht="15" hidden="false" customHeight="true" outlineLevel="0" collapsed="false">
      <c r="A218" s="9" t="s">
        <v>97</v>
      </c>
      <c r="B218" s="18" t="s">
        <v>27</v>
      </c>
      <c r="C218" s="9" t="s">
        <v>201</v>
      </c>
      <c r="D218" s="18" t="s">
        <v>49</v>
      </c>
      <c r="E218" s="19" t="s">
        <v>404</v>
      </c>
    </row>
    <row r="219" customFormat="false" ht="15" hidden="false" customHeight="true" outlineLevel="0" collapsed="false">
      <c r="A219" s="9" t="s">
        <v>97</v>
      </c>
      <c r="B219" s="18" t="s">
        <v>28</v>
      </c>
      <c r="C219" s="9" t="s">
        <v>203</v>
      </c>
      <c r="D219" s="18" t="s">
        <v>49</v>
      </c>
      <c r="E219" s="19" t="s">
        <v>405</v>
      </c>
    </row>
    <row r="220" customFormat="false" ht="15" hidden="false" customHeight="true" outlineLevel="0" collapsed="false">
      <c r="A220" s="9" t="s">
        <v>97</v>
      </c>
      <c r="B220" s="18" t="s">
        <v>29</v>
      </c>
      <c r="C220" s="9" t="s">
        <v>205</v>
      </c>
      <c r="D220" s="18" t="s">
        <v>51</v>
      </c>
      <c r="E220" s="19" t="s">
        <v>406</v>
      </c>
    </row>
    <row r="221" customFormat="false" ht="15" hidden="false" customHeight="true" outlineLevel="0" collapsed="false">
      <c r="A221" s="9" t="s">
        <v>97</v>
      </c>
      <c r="B221" s="18" t="s">
        <v>30</v>
      </c>
      <c r="C221" s="9" t="s">
        <v>207</v>
      </c>
      <c r="D221" s="18" t="s">
        <v>52</v>
      </c>
      <c r="E221" s="19" t="s">
        <v>407</v>
      </c>
    </row>
    <row r="222" customFormat="false" ht="15" hidden="false" customHeight="true" outlineLevel="0" collapsed="false">
      <c r="A222" s="9" t="s">
        <v>97</v>
      </c>
      <c r="B222" s="18" t="s">
        <v>31</v>
      </c>
      <c r="C222" s="9" t="s">
        <v>209</v>
      </c>
      <c r="D222" s="18" t="s">
        <v>52</v>
      </c>
      <c r="E222" s="19" t="s">
        <v>408</v>
      </c>
    </row>
    <row r="223" customFormat="false" ht="15" hidden="false" customHeight="true" outlineLevel="0" collapsed="false">
      <c r="A223" s="9" t="s">
        <v>97</v>
      </c>
      <c r="B223" s="18" t="s">
        <v>32</v>
      </c>
      <c r="C223" s="9" t="s">
        <v>211</v>
      </c>
      <c r="D223" s="18" t="s">
        <v>49</v>
      </c>
      <c r="E223" s="19" t="s">
        <v>247</v>
      </c>
    </row>
    <row r="224" customFormat="false" ht="15" hidden="false" customHeight="true" outlineLevel="0" collapsed="false">
      <c r="A224" s="9" t="s">
        <v>97</v>
      </c>
      <c r="B224" s="18" t="s">
        <v>33</v>
      </c>
      <c r="C224" s="9" t="s">
        <v>213</v>
      </c>
      <c r="D224" s="18" t="s">
        <v>49</v>
      </c>
      <c r="E224" s="19" t="s">
        <v>398</v>
      </c>
    </row>
    <row r="225" customFormat="false" ht="15" hidden="false" customHeight="true" outlineLevel="0" collapsed="false">
      <c r="A225" s="9" t="s">
        <v>97</v>
      </c>
      <c r="B225" s="18" t="s">
        <v>34</v>
      </c>
      <c r="C225" s="9" t="s">
        <v>215</v>
      </c>
      <c r="D225" s="18" t="s">
        <v>50</v>
      </c>
      <c r="E225" s="19" t="s">
        <v>216</v>
      </c>
    </row>
    <row r="226" customFormat="false" ht="15" hidden="false" customHeight="true" outlineLevel="0" collapsed="false">
      <c r="A226" s="9" t="s">
        <v>97</v>
      </c>
      <c r="B226" s="18" t="s">
        <v>35</v>
      </c>
      <c r="C226" s="9" t="s">
        <v>217</v>
      </c>
      <c r="D226" s="18"/>
      <c r="E226" s="19" t="s">
        <v>346</v>
      </c>
    </row>
    <row r="227" customFormat="false" ht="15" hidden="false" customHeight="true" outlineLevel="0" collapsed="false">
      <c r="A227" s="9" t="s">
        <v>97</v>
      </c>
      <c r="B227" s="18" t="s">
        <v>36</v>
      </c>
      <c r="C227" s="9" t="s">
        <v>219</v>
      </c>
      <c r="D227" s="18" t="s">
        <v>52</v>
      </c>
      <c r="E227" s="19" t="s">
        <v>409</v>
      </c>
    </row>
    <row r="228" customFormat="false" ht="15" hidden="false" customHeight="true" outlineLevel="0" collapsed="false">
      <c r="A228" s="9" t="s">
        <v>97</v>
      </c>
      <c r="B228" s="18" t="s">
        <v>37</v>
      </c>
      <c r="C228" s="9" t="s">
        <v>221</v>
      </c>
      <c r="D228" s="18" t="s">
        <v>49</v>
      </c>
      <c r="E228" s="19" t="s">
        <v>410</v>
      </c>
    </row>
    <row r="229" customFormat="false" ht="15" hidden="false" customHeight="true" outlineLevel="0" collapsed="false">
      <c r="A229" s="9" t="s">
        <v>100</v>
      </c>
      <c r="B229" s="18" t="s">
        <v>23</v>
      </c>
      <c r="C229" s="9" t="s">
        <v>193</v>
      </c>
      <c r="D229" s="18" t="s">
        <v>49</v>
      </c>
      <c r="E229" s="19" t="s">
        <v>267</v>
      </c>
    </row>
    <row r="230" customFormat="false" ht="15" hidden="false" customHeight="true" outlineLevel="0" collapsed="false">
      <c r="A230" s="9" t="s">
        <v>100</v>
      </c>
      <c r="B230" s="18" t="s">
        <v>24</v>
      </c>
      <c r="C230" s="9" t="s">
        <v>195</v>
      </c>
      <c r="D230" s="18" t="s">
        <v>49</v>
      </c>
      <c r="E230" s="19" t="s">
        <v>411</v>
      </c>
    </row>
    <row r="231" customFormat="false" ht="15" hidden="false" customHeight="true" outlineLevel="0" collapsed="false">
      <c r="A231" s="9" t="s">
        <v>100</v>
      </c>
      <c r="B231" s="18" t="s">
        <v>25</v>
      </c>
      <c r="C231" s="9" t="s">
        <v>197</v>
      </c>
      <c r="D231" s="18" t="s">
        <v>49</v>
      </c>
      <c r="E231" s="19" t="s">
        <v>412</v>
      </c>
    </row>
    <row r="232" customFormat="false" ht="15" hidden="false" customHeight="true" outlineLevel="0" collapsed="false">
      <c r="A232" s="9" t="s">
        <v>100</v>
      </c>
      <c r="B232" s="18" t="s">
        <v>26</v>
      </c>
      <c r="C232" s="9" t="s">
        <v>199</v>
      </c>
      <c r="D232" s="18" t="s">
        <v>50</v>
      </c>
      <c r="E232" s="19" t="s">
        <v>413</v>
      </c>
    </row>
    <row r="233" customFormat="false" ht="15" hidden="false" customHeight="true" outlineLevel="0" collapsed="false">
      <c r="A233" s="9" t="s">
        <v>100</v>
      </c>
      <c r="B233" s="18" t="s">
        <v>27</v>
      </c>
      <c r="C233" s="9" t="s">
        <v>201</v>
      </c>
      <c r="D233" s="18" t="s">
        <v>49</v>
      </c>
      <c r="E233" s="19" t="s">
        <v>414</v>
      </c>
    </row>
    <row r="234" customFormat="false" ht="15" hidden="false" customHeight="true" outlineLevel="0" collapsed="false">
      <c r="A234" s="9" t="s">
        <v>100</v>
      </c>
      <c r="B234" s="18" t="s">
        <v>28</v>
      </c>
      <c r="C234" s="9" t="s">
        <v>203</v>
      </c>
      <c r="D234" s="18" t="s">
        <v>52</v>
      </c>
      <c r="E234" s="19" t="s">
        <v>415</v>
      </c>
    </row>
    <row r="235" customFormat="false" ht="15" hidden="false" customHeight="true" outlineLevel="0" collapsed="false">
      <c r="A235" s="9" t="s">
        <v>100</v>
      </c>
      <c r="B235" s="18" t="s">
        <v>29</v>
      </c>
      <c r="C235" s="9" t="s">
        <v>205</v>
      </c>
      <c r="D235" s="18" t="s">
        <v>52</v>
      </c>
      <c r="E235" s="19" t="s">
        <v>416</v>
      </c>
    </row>
    <row r="236" customFormat="false" ht="15" hidden="false" customHeight="true" outlineLevel="0" collapsed="false">
      <c r="A236" s="9" t="s">
        <v>100</v>
      </c>
      <c r="B236" s="18" t="s">
        <v>30</v>
      </c>
      <c r="C236" s="9" t="s">
        <v>207</v>
      </c>
      <c r="D236" s="18" t="s">
        <v>52</v>
      </c>
      <c r="E236" s="19" t="s">
        <v>417</v>
      </c>
    </row>
    <row r="237" customFormat="false" ht="15" hidden="false" customHeight="true" outlineLevel="0" collapsed="false">
      <c r="A237" s="9" t="s">
        <v>100</v>
      </c>
      <c r="B237" s="18" t="s">
        <v>31</v>
      </c>
      <c r="C237" s="9" t="s">
        <v>209</v>
      </c>
      <c r="D237" s="18" t="s">
        <v>49</v>
      </c>
      <c r="E237" s="19" t="s">
        <v>418</v>
      </c>
    </row>
    <row r="238" customFormat="false" ht="15" hidden="false" customHeight="true" outlineLevel="0" collapsed="false">
      <c r="A238" s="9" t="s">
        <v>100</v>
      </c>
      <c r="B238" s="18" t="s">
        <v>32</v>
      </c>
      <c r="C238" s="9" t="s">
        <v>211</v>
      </c>
      <c r="D238" s="18" t="s">
        <v>49</v>
      </c>
      <c r="E238" s="19" t="s">
        <v>247</v>
      </c>
    </row>
    <row r="239" customFormat="false" ht="15" hidden="false" customHeight="true" outlineLevel="0" collapsed="false">
      <c r="A239" s="9" t="s">
        <v>100</v>
      </c>
      <c r="B239" s="18" t="s">
        <v>33</v>
      </c>
      <c r="C239" s="9" t="s">
        <v>213</v>
      </c>
      <c r="D239" s="18" t="s">
        <v>72</v>
      </c>
      <c r="E239" s="19" t="s">
        <v>419</v>
      </c>
    </row>
    <row r="240" customFormat="false" ht="15" hidden="false" customHeight="true" outlineLevel="0" collapsed="false">
      <c r="A240" s="9" t="s">
        <v>100</v>
      </c>
      <c r="B240" s="18" t="s">
        <v>34</v>
      </c>
      <c r="C240" s="9" t="s">
        <v>215</v>
      </c>
      <c r="D240" s="18" t="s">
        <v>50</v>
      </c>
      <c r="E240" s="19" t="s">
        <v>216</v>
      </c>
    </row>
    <row r="241" customFormat="false" ht="15" hidden="false" customHeight="true" outlineLevel="0" collapsed="false">
      <c r="A241" s="9" t="s">
        <v>100</v>
      </c>
      <c r="B241" s="18" t="s">
        <v>35</v>
      </c>
      <c r="C241" s="9" t="s">
        <v>217</v>
      </c>
      <c r="D241" s="18"/>
      <c r="E241" s="19" t="s">
        <v>420</v>
      </c>
    </row>
    <row r="242" customFormat="false" ht="15" hidden="false" customHeight="true" outlineLevel="0" collapsed="false">
      <c r="A242" s="9" t="s">
        <v>100</v>
      </c>
      <c r="B242" s="18" t="s">
        <v>36</v>
      </c>
      <c r="C242" s="9" t="s">
        <v>219</v>
      </c>
      <c r="D242" s="18" t="s">
        <v>52</v>
      </c>
      <c r="E242" s="19" t="s">
        <v>421</v>
      </c>
    </row>
    <row r="243" customFormat="false" ht="15" hidden="false" customHeight="true" outlineLevel="0" collapsed="false">
      <c r="A243" s="9" t="s">
        <v>100</v>
      </c>
      <c r="B243" s="18" t="s">
        <v>37</v>
      </c>
      <c r="C243" s="9" t="s">
        <v>221</v>
      </c>
      <c r="D243" s="18" t="s">
        <v>51</v>
      </c>
      <c r="E243" s="19" t="s">
        <v>422</v>
      </c>
    </row>
    <row r="244" customFormat="false" ht="15" hidden="false" customHeight="true" outlineLevel="0" collapsed="false">
      <c r="A244" s="9" t="s">
        <v>104</v>
      </c>
      <c r="B244" s="18" t="s">
        <v>23</v>
      </c>
      <c r="C244" s="9" t="s">
        <v>193</v>
      </c>
      <c r="D244" s="18" t="s">
        <v>49</v>
      </c>
      <c r="E244" s="19" t="s">
        <v>423</v>
      </c>
    </row>
    <row r="245" customFormat="false" ht="15" hidden="false" customHeight="true" outlineLevel="0" collapsed="false">
      <c r="A245" s="9" t="s">
        <v>104</v>
      </c>
      <c r="B245" s="18" t="s">
        <v>24</v>
      </c>
      <c r="C245" s="9" t="s">
        <v>195</v>
      </c>
      <c r="D245" s="18" t="s">
        <v>49</v>
      </c>
      <c r="E245" s="19" t="s">
        <v>424</v>
      </c>
    </row>
    <row r="246" customFormat="false" ht="15" hidden="false" customHeight="true" outlineLevel="0" collapsed="false">
      <c r="A246" s="9" t="s">
        <v>104</v>
      </c>
      <c r="B246" s="18" t="s">
        <v>25</v>
      </c>
      <c r="C246" s="9" t="s">
        <v>197</v>
      </c>
      <c r="D246" s="18"/>
      <c r="E246" s="19" t="s">
        <v>425</v>
      </c>
    </row>
    <row r="247" customFormat="false" ht="15" hidden="false" customHeight="true" outlineLevel="0" collapsed="false">
      <c r="A247" s="9" t="s">
        <v>104</v>
      </c>
      <c r="B247" s="18" t="s">
        <v>26</v>
      </c>
      <c r="C247" s="9" t="s">
        <v>199</v>
      </c>
      <c r="D247" s="18" t="s">
        <v>50</v>
      </c>
      <c r="E247" s="19" t="s">
        <v>413</v>
      </c>
    </row>
    <row r="248" customFormat="false" ht="15" hidden="false" customHeight="true" outlineLevel="0" collapsed="false">
      <c r="A248" s="9" t="s">
        <v>104</v>
      </c>
      <c r="B248" s="18" t="s">
        <v>27</v>
      </c>
      <c r="C248" s="9" t="s">
        <v>201</v>
      </c>
      <c r="D248" s="18" t="s">
        <v>52</v>
      </c>
      <c r="E248" s="19" t="s">
        <v>426</v>
      </c>
    </row>
    <row r="249" customFormat="false" ht="15" hidden="false" customHeight="true" outlineLevel="0" collapsed="false">
      <c r="A249" s="9" t="s">
        <v>104</v>
      </c>
      <c r="B249" s="18" t="s">
        <v>28</v>
      </c>
      <c r="C249" s="9" t="s">
        <v>203</v>
      </c>
      <c r="D249" s="18" t="s">
        <v>52</v>
      </c>
      <c r="E249" s="19" t="s">
        <v>427</v>
      </c>
    </row>
    <row r="250" customFormat="false" ht="15" hidden="false" customHeight="true" outlineLevel="0" collapsed="false">
      <c r="A250" s="9" t="s">
        <v>104</v>
      </c>
      <c r="B250" s="18" t="s">
        <v>29</v>
      </c>
      <c r="C250" s="9" t="s">
        <v>205</v>
      </c>
      <c r="D250" s="18" t="s">
        <v>51</v>
      </c>
      <c r="E250" s="19" t="s">
        <v>428</v>
      </c>
    </row>
    <row r="251" customFormat="false" ht="23.25" hidden="false" customHeight="true" outlineLevel="0" collapsed="false">
      <c r="A251" s="9" t="s">
        <v>104</v>
      </c>
      <c r="B251" s="18" t="s">
        <v>30</v>
      </c>
      <c r="C251" s="9" t="s">
        <v>207</v>
      </c>
      <c r="D251" s="18" t="s">
        <v>51</v>
      </c>
      <c r="E251" s="19" t="s">
        <v>383</v>
      </c>
    </row>
    <row r="252" customFormat="false" ht="15" hidden="false" customHeight="true" outlineLevel="0" collapsed="false">
      <c r="A252" s="9" t="s">
        <v>104</v>
      </c>
      <c r="B252" s="18" t="s">
        <v>31</v>
      </c>
      <c r="C252" s="9" t="s">
        <v>209</v>
      </c>
      <c r="D252" s="18" t="s">
        <v>51</v>
      </c>
      <c r="E252" s="19" t="s">
        <v>429</v>
      </c>
    </row>
    <row r="253" customFormat="false" ht="15" hidden="false" customHeight="true" outlineLevel="0" collapsed="false">
      <c r="A253" s="9" t="s">
        <v>104</v>
      </c>
      <c r="B253" s="18" t="s">
        <v>32</v>
      </c>
      <c r="C253" s="9" t="s">
        <v>211</v>
      </c>
      <c r="D253" s="18" t="s">
        <v>51</v>
      </c>
      <c r="E253" s="19" t="s">
        <v>430</v>
      </c>
    </row>
    <row r="254" customFormat="false" ht="15" hidden="false" customHeight="true" outlineLevel="0" collapsed="false">
      <c r="A254" s="9" t="s">
        <v>104</v>
      </c>
      <c r="B254" s="18" t="s">
        <v>33</v>
      </c>
      <c r="C254" s="9" t="s">
        <v>213</v>
      </c>
      <c r="D254" s="18" t="s">
        <v>72</v>
      </c>
      <c r="E254" s="19" t="s">
        <v>419</v>
      </c>
    </row>
    <row r="255" customFormat="false" ht="15" hidden="false" customHeight="true" outlineLevel="0" collapsed="false">
      <c r="A255" s="9" t="s">
        <v>104</v>
      </c>
      <c r="B255" s="18" t="s">
        <v>34</v>
      </c>
      <c r="C255" s="9" t="s">
        <v>215</v>
      </c>
      <c r="D255" s="18" t="s">
        <v>50</v>
      </c>
      <c r="E255" s="19" t="s">
        <v>216</v>
      </c>
    </row>
    <row r="256" customFormat="false" ht="15" hidden="false" customHeight="true" outlineLevel="0" collapsed="false">
      <c r="A256" s="9" t="s">
        <v>104</v>
      </c>
      <c r="B256" s="18" t="s">
        <v>35</v>
      </c>
      <c r="C256" s="9" t="s">
        <v>217</v>
      </c>
      <c r="D256" s="18"/>
      <c r="E256" s="19" t="s">
        <v>420</v>
      </c>
    </row>
    <row r="257" customFormat="false" ht="15" hidden="false" customHeight="true" outlineLevel="0" collapsed="false">
      <c r="A257" s="9" t="s">
        <v>104</v>
      </c>
      <c r="B257" s="18" t="s">
        <v>36</v>
      </c>
      <c r="C257" s="9" t="s">
        <v>219</v>
      </c>
      <c r="D257" s="18" t="s">
        <v>51</v>
      </c>
      <c r="E257" s="19" t="s">
        <v>431</v>
      </c>
    </row>
    <row r="258" customFormat="false" ht="15" hidden="false" customHeight="true" outlineLevel="0" collapsed="false">
      <c r="A258" s="9" t="s">
        <v>104</v>
      </c>
      <c r="B258" s="18" t="s">
        <v>37</v>
      </c>
      <c r="C258" s="9" t="s">
        <v>221</v>
      </c>
      <c r="D258" s="18" t="s">
        <v>52</v>
      </c>
      <c r="E258" s="19" t="s">
        <v>362</v>
      </c>
    </row>
    <row r="259" customFormat="false" ht="15" hidden="false" customHeight="true" outlineLevel="0" collapsed="false">
      <c r="A259" s="9" t="s">
        <v>107</v>
      </c>
      <c r="B259" s="18" t="s">
        <v>23</v>
      </c>
      <c r="C259" s="9" t="s">
        <v>193</v>
      </c>
      <c r="D259" s="18" t="s">
        <v>50</v>
      </c>
      <c r="E259" s="19" t="s">
        <v>432</v>
      </c>
    </row>
    <row r="260" customFormat="false" ht="15" hidden="false" customHeight="true" outlineLevel="0" collapsed="false">
      <c r="A260" s="9" t="s">
        <v>107</v>
      </c>
      <c r="B260" s="18" t="s">
        <v>24</v>
      </c>
      <c r="C260" s="9" t="s">
        <v>195</v>
      </c>
      <c r="D260" s="18" t="s">
        <v>50</v>
      </c>
      <c r="E260" s="19" t="s">
        <v>432</v>
      </c>
    </row>
    <row r="261" customFormat="false" ht="15" hidden="false" customHeight="true" outlineLevel="0" collapsed="false">
      <c r="A261" s="9" t="s">
        <v>107</v>
      </c>
      <c r="B261" s="18" t="s">
        <v>25</v>
      </c>
      <c r="C261" s="9" t="s">
        <v>197</v>
      </c>
      <c r="D261" s="18" t="s">
        <v>50</v>
      </c>
      <c r="E261" s="19" t="s">
        <v>432</v>
      </c>
    </row>
    <row r="262" customFormat="false" ht="15" hidden="false" customHeight="true" outlineLevel="0" collapsed="false">
      <c r="A262" s="9" t="s">
        <v>107</v>
      </c>
      <c r="B262" s="18" t="s">
        <v>26</v>
      </c>
      <c r="C262" s="9" t="s">
        <v>199</v>
      </c>
      <c r="D262" s="18" t="s">
        <v>50</v>
      </c>
      <c r="E262" s="19" t="s">
        <v>432</v>
      </c>
    </row>
    <row r="263" customFormat="false" ht="15" hidden="false" customHeight="true" outlineLevel="0" collapsed="false">
      <c r="A263" s="9" t="s">
        <v>107</v>
      </c>
      <c r="B263" s="18" t="s">
        <v>27</v>
      </c>
      <c r="C263" s="9" t="s">
        <v>201</v>
      </c>
      <c r="D263" s="18" t="s">
        <v>49</v>
      </c>
      <c r="E263" s="19" t="s">
        <v>433</v>
      </c>
    </row>
    <row r="264" customFormat="false" ht="15" hidden="false" customHeight="true" outlineLevel="0" collapsed="false">
      <c r="A264" s="9" t="s">
        <v>107</v>
      </c>
      <c r="B264" s="18" t="s">
        <v>28</v>
      </c>
      <c r="C264" s="9" t="s">
        <v>203</v>
      </c>
      <c r="D264" s="18" t="s">
        <v>52</v>
      </c>
      <c r="E264" s="19" t="s">
        <v>434</v>
      </c>
    </row>
    <row r="265" customFormat="false" ht="15" hidden="false" customHeight="true" outlineLevel="0" collapsed="false">
      <c r="A265" s="9" t="s">
        <v>107</v>
      </c>
      <c r="B265" s="18" t="s">
        <v>29</v>
      </c>
      <c r="C265" s="9" t="s">
        <v>205</v>
      </c>
      <c r="D265" s="18" t="s">
        <v>58</v>
      </c>
      <c r="E265" s="19" t="s">
        <v>435</v>
      </c>
    </row>
    <row r="266" customFormat="false" ht="15" hidden="false" customHeight="true" outlineLevel="0" collapsed="false">
      <c r="A266" s="9" t="s">
        <v>107</v>
      </c>
      <c r="B266" s="18" t="s">
        <v>30</v>
      </c>
      <c r="C266" s="9" t="s">
        <v>207</v>
      </c>
      <c r="D266" s="18" t="s">
        <v>49</v>
      </c>
      <c r="E266" s="19" t="s">
        <v>436</v>
      </c>
    </row>
    <row r="267" customFormat="false" ht="15" hidden="false" customHeight="true" outlineLevel="0" collapsed="false">
      <c r="A267" s="9" t="s">
        <v>107</v>
      </c>
      <c r="B267" s="18" t="s">
        <v>31</v>
      </c>
      <c r="C267" s="9" t="s">
        <v>209</v>
      </c>
      <c r="D267" s="18" t="s">
        <v>51</v>
      </c>
      <c r="E267" s="19" t="s">
        <v>437</v>
      </c>
    </row>
    <row r="268" customFormat="false" ht="15" hidden="false" customHeight="true" outlineLevel="0" collapsed="false">
      <c r="A268" s="9" t="s">
        <v>107</v>
      </c>
      <c r="B268" s="18" t="s">
        <v>32</v>
      </c>
      <c r="C268" s="9" t="s">
        <v>211</v>
      </c>
      <c r="D268" s="18" t="s">
        <v>52</v>
      </c>
      <c r="E268" s="19" t="s">
        <v>438</v>
      </c>
    </row>
    <row r="269" customFormat="false" ht="15" hidden="false" customHeight="true" outlineLevel="0" collapsed="false">
      <c r="A269" s="9" t="s">
        <v>107</v>
      </c>
      <c r="B269" s="18" t="s">
        <v>33</v>
      </c>
      <c r="C269" s="9" t="s">
        <v>213</v>
      </c>
      <c r="D269" s="18" t="s">
        <v>49</v>
      </c>
      <c r="E269" s="19" t="s">
        <v>439</v>
      </c>
    </row>
    <row r="270" customFormat="false" ht="15" hidden="false" customHeight="true" outlineLevel="0" collapsed="false">
      <c r="A270" s="9" t="s">
        <v>107</v>
      </c>
      <c r="B270" s="18" t="s">
        <v>34</v>
      </c>
      <c r="C270" s="9" t="s">
        <v>215</v>
      </c>
      <c r="D270" s="18" t="s">
        <v>50</v>
      </c>
      <c r="E270" s="19" t="s">
        <v>216</v>
      </c>
    </row>
    <row r="271" customFormat="false" ht="15" hidden="false" customHeight="true" outlineLevel="0" collapsed="false">
      <c r="A271" s="9" t="s">
        <v>107</v>
      </c>
      <c r="B271" s="18" t="s">
        <v>35</v>
      </c>
      <c r="C271" s="9" t="s">
        <v>217</v>
      </c>
      <c r="D271" s="18" t="s">
        <v>49</v>
      </c>
      <c r="E271" s="19" t="s">
        <v>440</v>
      </c>
    </row>
    <row r="272" customFormat="false" ht="15" hidden="false" customHeight="true" outlineLevel="0" collapsed="false">
      <c r="A272" s="9" t="s">
        <v>107</v>
      </c>
      <c r="B272" s="18" t="s">
        <v>36</v>
      </c>
      <c r="C272" s="9" t="s">
        <v>219</v>
      </c>
      <c r="D272" s="18" t="s">
        <v>52</v>
      </c>
      <c r="E272" s="19" t="s">
        <v>441</v>
      </c>
    </row>
    <row r="273" customFormat="false" ht="15" hidden="false" customHeight="true" outlineLevel="0" collapsed="false">
      <c r="A273" s="9" t="s">
        <v>107</v>
      </c>
      <c r="B273" s="18" t="s">
        <v>37</v>
      </c>
      <c r="C273" s="9" t="s">
        <v>221</v>
      </c>
      <c r="D273" s="18" t="s">
        <v>50</v>
      </c>
      <c r="E273" s="19" t="s">
        <v>442</v>
      </c>
    </row>
    <row r="274" customFormat="false" ht="15" hidden="false" customHeight="true" outlineLevel="0" collapsed="false">
      <c r="A274" s="9" t="s">
        <v>111</v>
      </c>
      <c r="B274" s="18" t="s">
        <v>23</v>
      </c>
      <c r="C274" s="9" t="s">
        <v>193</v>
      </c>
      <c r="D274" s="18" t="s">
        <v>50</v>
      </c>
      <c r="E274" s="19" t="s">
        <v>432</v>
      </c>
    </row>
    <row r="275" customFormat="false" ht="15" hidden="false" customHeight="true" outlineLevel="0" collapsed="false">
      <c r="A275" s="9" t="s">
        <v>111</v>
      </c>
      <c r="B275" s="18" t="s">
        <v>24</v>
      </c>
      <c r="C275" s="9" t="s">
        <v>195</v>
      </c>
      <c r="D275" s="18" t="s">
        <v>50</v>
      </c>
      <c r="E275" s="19" t="s">
        <v>432</v>
      </c>
    </row>
    <row r="276" customFormat="false" ht="15" hidden="false" customHeight="true" outlineLevel="0" collapsed="false">
      <c r="A276" s="9" t="s">
        <v>111</v>
      </c>
      <c r="B276" s="18" t="s">
        <v>25</v>
      </c>
      <c r="C276" s="9" t="s">
        <v>197</v>
      </c>
      <c r="D276" s="18" t="s">
        <v>50</v>
      </c>
      <c r="E276" s="19" t="s">
        <v>432</v>
      </c>
    </row>
    <row r="277" customFormat="false" ht="15" hidden="false" customHeight="true" outlineLevel="0" collapsed="false">
      <c r="A277" s="9" t="s">
        <v>111</v>
      </c>
      <c r="B277" s="18" t="s">
        <v>26</v>
      </c>
      <c r="C277" s="9" t="s">
        <v>199</v>
      </c>
      <c r="D277" s="18" t="s">
        <v>50</v>
      </c>
      <c r="E277" s="19" t="s">
        <v>432</v>
      </c>
    </row>
    <row r="278" customFormat="false" ht="15" hidden="false" customHeight="true" outlineLevel="0" collapsed="false">
      <c r="A278" s="9" t="s">
        <v>111</v>
      </c>
      <c r="B278" s="18" t="s">
        <v>27</v>
      </c>
      <c r="C278" s="9" t="s">
        <v>201</v>
      </c>
      <c r="D278" s="18" t="s">
        <v>49</v>
      </c>
      <c r="E278" s="19" t="s">
        <v>443</v>
      </c>
    </row>
    <row r="279" customFormat="false" ht="15" hidden="false" customHeight="true" outlineLevel="0" collapsed="false">
      <c r="A279" s="9" t="s">
        <v>111</v>
      </c>
      <c r="B279" s="18" t="s">
        <v>28</v>
      </c>
      <c r="C279" s="9" t="s">
        <v>203</v>
      </c>
      <c r="D279" s="18" t="s">
        <v>51</v>
      </c>
      <c r="E279" s="19" t="s">
        <v>444</v>
      </c>
    </row>
    <row r="280" customFormat="false" ht="15" hidden="false" customHeight="true" outlineLevel="0" collapsed="false">
      <c r="A280" s="9" t="s">
        <v>111</v>
      </c>
      <c r="B280" s="18" t="s">
        <v>29</v>
      </c>
      <c r="C280" s="9" t="s">
        <v>205</v>
      </c>
      <c r="D280" s="18" t="s">
        <v>51</v>
      </c>
      <c r="E280" s="19" t="s">
        <v>445</v>
      </c>
    </row>
    <row r="281" customFormat="false" ht="15" hidden="false" customHeight="true" outlineLevel="0" collapsed="false">
      <c r="A281" s="9" t="s">
        <v>111</v>
      </c>
      <c r="B281" s="18" t="s">
        <v>30</v>
      </c>
      <c r="C281" s="9" t="s">
        <v>207</v>
      </c>
      <c r="D281" s="18" t="s">
        <v>49</v>
      </c>
      <c r="E281" s="19" t="s">
        <v>446</v>
      </c>
    </row>
    <row r="282" customFormat="false" ht="15" hidden="false" customHeight="true" outlineLevel="0" collapsed="false">
      <c r="A282" s="9" t="s">
        <v>111</v>
      </c>
      <c r="B282" s="18" t="s">
        <v>31</v>
      </c>
      <c r="C282" s="9" t="s">
        <v>209</v>
      </c>
      <c r="D282" s="18" t="s">
        <v>51</v>
      </c>
      <c r="E282" s="19" t="s">
        <v>447</v>
      </c>
    </row>
    <row r="283" customFormat="false" ht="15" hidden="false" customHeight="true" outlineLevel="0" collapsed="false">
      <c r="A283" s="9" t="s">
        <v>111</v>
      </c>
      <c r="B283" s="18" t="s">
        <v>32</v>
      </c>
      <c r="C283" s="9" t="s">
        <v>211</v>
      </c>
      <c r="D283" s="18" t="s">
        <v>72</v>
      </c>
      <c r="E283" s="19" t="s">
        <v>448</v>
      </c>
    </row>
    <row r="284" customFormat="false" ht="15" hidden="false" customHeight="true" outlineLevel="0" collapsed="false">
      <c r="A284" s="9" t="s">
        <v>111</v>
      </c>
      <c r="B284" s="18" t="s">
        <v>33</v>
      </c>
      <c r="C284" s="9" t="s">
        <v>213</v>
      </c>
      <c r="D284" s="18" t="s">
        <v>49</v>
      </c>
      <c r="E284" s="19" t="s">
        <v>439</v>
      </c>
    </row>
    <row r="285" customFormat="false" ht="15" hidden="false" customHeight="true" outlineLevel="0" collapsed="false">
      <c r="A285" s="9" t="s">
        <v>111</v>
      </c>
      <c r="B285" s="18" t="s">
        <v>34</v>
      </c>
      <c r="C285" s="9" t="s">
        <v>215</v>
      </c>
      <c r="D285" s="18" t="s">
        <v>50</v>
      </c>
      <c r="E285" s="19" t="s">
        <v>216</v>
      </c>
    </row>
    <row r="286" customFormat="false" ht="23.25" hidden="false" customHeight="true" outlineLevel="0" collapsed="false">
      <c r="A286" s="9" t="s">
        <v>111</v>
      </c>
      <c r="B286" s="18" t="s">
        <v>35</v>
      </c>
      <c r="C286" s="9" t="s">
        <v>217</v>
      </c>
      <c r="D286" s="18"/>
      <c r="E286" s="19" t="s">
        <v>449</v>
      </c>
    </row>
    <row r="287" customFormat="false" ht="15" hidden="false" customHeight="true" outlineLevel="0" collapsed="false">
      <c r="A287" s="9" t="s">
        <v>111</v>
      </c>
      <c r="B287" s="18" t="s">
        <v>36</v>
      </c>
      <c r="C287" s="9" t="s">
        <v>219</v>
      </c>
      <c r="D287" s="18" t="s">
        <v>49</v>
      </c>
      <c r="E287" s="19" t="s">
        <v>450</v>
      </c>
    </row>
    <row r="288" customFormat="false" ht="15" hidden="false" customHeight="true" outlineLevel="0" collapsed="false">
      <c r="A288" s="9" t="s">
        <v>111</v>
      </c>
      <c r="B288" s="18" t="s">
        <v>37</v>
      </c>
      <c r="C288" s="9" t="s">
        <v>221</v>
      </c>
      <c r="D288" s="18" t="s">
        <v>50</v>
      </c>
      <c r="E288" s="19" t="s">
        <v>442</v>
      </c>
    </row>
    <row r="289" customFormat="false" ht="15" hidden="false" customHeight="true" outlineLevel="0" collapsed="false">
      <c r="A289" s="9" t="s">
        <v>114</v>
      </c>
      <c r="B289" s="18" t="s">
        <v>23</v>
      </c>
      <c r="C289" s="9" t="s">
        <v>193</v>
      </c>
      <c r="D289" s="18" t="s">
        <v>49</v>
      </c>
      <c r="E289" s="19" t="s">
        <v>451</v>
      </c>
    </row>
    <row r="290" customFormat="false" ht="15" hidden="false" customHeight="true" outlineLevel="0" collapsed="false">
      <c r="A290" s="9" t="s">
        <v>114</v>
      </c>
      <c r="B290" s="18" t="s">
        <v>24</v>
      </c>
      <c r="C290" s="9" t="s">
        <v>195</v>
      </c>
      <c r="D290" s="18" t="s">
        <v>49</v>
      </c>
      <c r="E290" s="19" t="s">
        <v>452</v>
      </c>
    </row>
    <row r="291" customFormat="false" ht="15" hidden="false" customHeight="true" outlineLevel="0" collapsed="false">
      <c r="A291" s="9" t="s">
        <v>114</v>
      </c>
      <c r="B291" s="18" t="s">
        <v>25</v>
      </c>
      <c r="C291" s="9" t="s">
        <v>197</v>
      </c>
      <c r="D291" s="18" t="s">
        <v>49</v>
      </c>
      <c r="E291" s="19" t="s">
        <v>392</v>
      </c>
    </row>
    <row r="292" customFormat="false" ht="15" hidden="false" customHeight="true" outlineLevel="0" collapsed="false">
      <c r="A292" s="9" t="s">
        <v>114</v>
      </c>
      <c r="B292" s="18" t="s">
        <v>26</v>
      </c>
      <c r="C292" s="9" t="s">
        <v>199</v>
      </c>
      <c r="D292" s="18" t="s">
        <v>50</v>
      </c>
      <c r="E292" s="19" t="s">
        <v>200</v>
      </c>
    </row>
    <row r="293" customFormat="false" ht="15" hidden="false" customHeight="true" outlineLevel="0" collapsed="false">
      <c r="A293" s="9" t="s">
        <v>114</v>
      </c>
      <c r="B293" s="18" t="s">
        <v>27</v>
      </c>
      <c r="C293" s="9" t="s">
        <v>201</v>
      </c>
      <c r="D293" s="18" t="s">
        <v>49</v>
      </c>
      <c r="E293" s="19" t="s">
        <v>453</v>
      </c>
    </row>
    <row r="294" customFormat="false" ht="15" hidden="false" customHeight="true" outlineLevel="0" collapsed="false">
      <c r="A294" s="9" t="s">
        <v>114</v>
      </c>
      <c r="B294" s="18" t="s">
        <v>28</v>
      </c>
      <c r="C294" s="9" t="s">
        <v>203</v>
      </c>
      <c r="D294" s="18" t="s">
        <v>51</v>
      </c>
      <c r="E294" s="19" t="s">
        <v>454</v>
      </c>
    </row>
    <row r="295" customFormat="false" ht="15" hidden="false" customHeight="true" outlineLevel="0" collapsed="false">
      <c r="A295" s="9" t="s">
        <v>114</v>
      </c>
      <c r="B295" s="18" t="s">
        <v>29</v>
      </c>
      <c r="C295" s="9" t="s">
        <v>205</v>
      </c>
      <c r="D295" s="18" t="s">
        <v>52</v>
      </c>
      <c r="E295" s="19" t="s">
        <v>455</v>
      </c>
    </row>
    <row r="296" customFormat="false" ht="34.5" hidden="false" customHeight="true" outlineLevel="0" collapsed="false">
      <c r="A296" s="9" t="s">
        <v>114</v>
      </c>
      <c r="B296" s="18" t="s">
        <v>30</v>
      </c>
      <c r="C296" s="9" t="s">
        <v>207</v>
      </c>
      <c r="D296" s="18" t="s">
        <v>51</v>
      </c>
      <c r="E296" s="19" t="s">
        <v>456</v>
      </c>
    </row>
    <row r="297" customFormat="false" ht="15" hidden="false" customHeight="true" outlineLevel="0" collapsed="false">
      <c r="A297" s="9" t="s">
        <v>114</v>
      </c>
      <c r="B297" s="18" t="s">
        <v>31</v>
      </c>
      <c r="C297" s="9" t="s">
        <v>209</v>
      </c>
      <c r="D297" s="18" t="s">
        <v>49</v>
      </c>
      <c r="E297" s="19" t="s">
        <v>457</v>
      </c>
    </row>
    <row r="298" customFormat="false" ht="15" hidden="false" customHeight="true" outlineLevel="0" collapsed="false">
      <c r="A298" s="9" t="s">
        <v>114</v>
      </c>
      <c r="B298" s="18" t="s">
        <v>32</v>
      </c>
      <c r="C298" s="9" t="s">
        <v>211</v>
      </c>
      <c r="D298" s="18" t="s">
        <v>49</v>
      </c>
      <c r="E298" s="19" t="s">
        <v>247</v>
      </c>
    </row>
    <row r="299" customFormat="false" ht="15" hidden="false" customHeight="true" outlineLevel="0" collapsed="false">
      <c r="A299" s="9" t="s">
        <v>114</v>
      </c>
      <c r="B299" s="18" t="s">
        <v>33</v>
      </c>
      <c r="C299" s="9" t="s">
        <v>213</v>
      </c>
      <c r="D299" s="18" t="s">
        <v>49</v>
      </c>
      <c r="E299" s="19" t="s">
        <v>398</v>
      </c>
    </row>
    <row r="300" customFormat="false" ht="15" hidden="false" customHeight="true" outlineLevel="0" collapsed="false">
      <c r="A300" s="9" t="s">
        <v>114</v>
      </c>
      <c r="B300" s="18" t="s">
        <v>34</v>
      </c>
      <c r="C300" s="9" t="s">
        <v>215</v>
      </c>
      <c r="D300" s="18" t="s">
        <v>50</v>
      </c>
      <c r="E300" s="19" t="s">
        <v>216</v>
      </c>
    </row>
    <row r="301" customFormat="false" ht="15" hidden="false" customHeight="true" outlineLevel="0" collapsed="false">
      <c r="A301" s="9" t="s">
        <v>114</v>
      </c>
      <c r="B301" s="18" t="s">
        <v>35</v>
      </c>
      <c r="C301" s="9" t="s">
        <v>217</v>
      </c>
      <c r="D301" s="18"/>
      <c r="E301" s="19" t="s">
        <v>458</v>
      </c>
    </row>
    <row r="302" customFormat="false" ht="15" hidden="false" customHeight="true" outlineLevel="0" collapsed="false">
      <c r="A302" s="9" t="s">
        <v>114</v>
      </c>
      <c r="B302" s="18" t="s">
        <v>36</v>
      </c>
      <c r="C302" s="9" t="s">
        <v>219</v>
      </c>
      <c r="D302" s="18" t="s">
        <v>51</v>
      </c>
      <c r="E302" s="19" t="s">
        <v>459</v>
      </c>
    </row>
    <row r="303" customFormat="false" ht="15" hidden="false" customHeight="true" outlineLevel="0" collapsed="false">
      <c r="A303" s="9" t="s">
        <v>114</v>
      </c>
      <c r="B303" s="18" t="s">
        <v>37</v>
      </c>
      <c r="C303" s="9" t="s">
        <v>221</v>
      </c>
      <c r="D303" s="18" t="s">
        <v>49</v>
      </c>
      <c r="E303" s="19" t="s">
        <v>389</v>
      </c>
    </row>
    <row r="304" customFormat="false" ht="15" hidden="false" customHeight="true" outlineLevel="0" collapsed="false">
      <c r="A304" s="9" t="s">
        <v>117</v>
      </c>
      <c r="B304" s="18" t="s">
        <v>23</v>
      </c>
      <c r="C304" s="9" t="s">
        <v>193</v>
      </c>
      <c r="D304" s="18" t="s">
        <v>58</v>
      </c>
      <c r="E304" s="19" t="s">
        <v>460</v>
      </c>
    </row>
    <row r="305" customFormat="false" ht="15" hidden="false" customHeight="true" outlineLevel="0" collapsed="false">
      <c r="A305" s="9" t="s">
        <v>117</v>
      </c>
      <c r="B305" s="18" t="s">
        <v>24</v>
      </c>
      <c r="C305" s="9" t="s">
        <v>195</v>
      </c>
      <c r="D305" s="18" t="s">
        <v>72</v>
      </c>
      <c r="E305" s="19" t="s">
        <v>461</v>
      </c>
    </row>
    <row r="306" customFormat="false" ht="15" hidden="false" customHeight="true" outlineLevel="0" collapsed="false">
      <c r="A306" s="9" t="s">
        <v>117</v>
      </c>
      <c r="B306" s="18" t="s">
        <v>25</v>
      </c>
      <c r="C306" s="9" t="s">
        <v>197</v>
      </c>
      <c r="D306" s="18" t="s">
        <v>51</v>
      </c>
      <c r="E306" s="19" t="s">
        <v>462</v>
      </c>
    </row>
    <row r="307" customFormat="false" ht="15" hidden="false" customHeight="true" outlineLevel="0" collapsed="false">
      <c r="A307" s="9" t="s">
        <v>117</v>
      </c>
      <c r="B307" s="18" t="s">
        <v>26</v>
      </c>
      <c r="C307" s="9" t="s">
        <v>199</v>
      </c>
      <c r="D307" s="18" t="s">
        <v>49</v>
      </c>
      <c r="E307" s="19" t="s">
        <v>463</v>
      </c>
    </row>
    <row r="308" customFormat="false" ht="15" hidden="false" customHeight="true" outlineLevel="0" collapsed="false">
      <c r="A308" s="9" t="s">
        <v>117</v>
      </c>
      <c r="B308" s="18" t="s">
        <v>27</v>
      </c>
      <c r="C308" s="9" t="s">
        <v>201</v>
      </c>
      <c r="D308" s="18" t="s">
        <v>49</v>
      </c>
      <c r="E308" s="19" t="s">
        <v>464</v>
      </c>
    </row>
    <row r="309" customFormat="false" ht="15" hidden="false" customHeight="true" outlineLevel="0" collapsed="false">
      <c r="A309" s="9" t="s">
        <v>117</v>
      </c>
      <c r="B309" s="18" t="s">
        <v>28</v>
      </c>
      <c r="C309" s="9" t="s">
        <v>203</v>
      </c>
      <c r="D309" s="18" t="s">
        <v>72</v>
      </c>
      <c r="E309" s="19" t="s">
        <v>465</v>
      </c>
    </row>
    <row r="310" customFormat="false" ht="15" hidden="false" customHeight="true" outlineLevel="0" collapsed="false">
      <c r="A310" s="9" t="s">
        <v>117</v>
      </c>
      <c r="B310" s="18" t="s">
        <v>29</v>
      </c>
      <c r="C310" s="9" t="s">
        <v>205</v>
      </c>
      <c r="D310" s="18" t="s">
        <v>52</v>
      </c>
      <c r="E310" s="19" t="s">
        <v>466</v>
      </c>
    </row>
    <row r="311" customFormat="false" ht="15" hidden="false" customHeight="true" outlineLevel="0" collapsed="false">
      <c r="A311" s="9" t="s">
        <v>117</v>
      </c>
      <c r="B311" s="18" t="s">
        <v>30</v>
      </c>
      <c r="C311" s="9" t="s">
        <v>207</v>
      </c>
      <c r="D311" s="18" t="s">
        <v>51</v>
      </c>
      <c r="E311" s="19" t="s">
        <v>467</v>
      </c>
    </row>
    <row r="312" customFormat="false" ht="15" hidden="false" customHeight="true" outlineLevel="0" collapsed="false">
      <c r="A312" s="9" t="s">
        <v>117</v>
      </c>
      <c r="B312" s="18" t="s">
        <v>31</v>
      </c>
      <c r="C312" s="9" t="s">
        <v>209</v>
      </c>
      <c r="D312" s="18"/>
      <c r="E312" s="19" t="s">
        <v>468</v>
      </c>
    </row>
    <row r="313" customFormat="false" ht="15" hidden="false" customHeight="true" outlineLevel="0" collapsed="false">
      <c r="A313" s="9" t="s">
        <v>117</v>
      </c>
      <c r="B313" s="18" t="s">
        <v>32</v>
      </c>
      <c r="C313" s="9" t="s">
        <v>211</v>
      </c>
      <c r="D313" s="18"/>
      <c r="E313" s="19" t="s">
        <v>469</v>
      </c>
    </row>
    <row r="314" customFormat="false" ht="15" hidden="false" customHeight="true" outlineLevel="0" collapsed="false">
      <c r="A314" s="9" t="s">
        <v>117</v>
      </c>
      <c r="B314" s="18" t="s">
        <v>33</v>
      </c>
      <c r="C314" s="9" t="s">
        <v>213</v>
      </c>
      <c r="D314" s="18" t="s">
        <v>49</v>
      </c>
      <c r="E314" s="19" t="s">
        <v>248</v>
      </c>
    </row>
    <row r="315" customFormat="false" ht="15" hidden="false" customHeight="true" outlineLevel="0" collapsed="false">
      <c r="A315" s="9" t="s">
        <v>117</v>
      </c>
      <c r="B315" s="18" t="s">
        <v>34</v>
      </c>
      <c r="C315" s="9" t="s">
        <v>215</v>
      </c>
      <c r="D315" s="18" t="s">
        <v>50</v>
      </c>
      <c r="E315" s="19" t="s">
        <v>216</v>
      </c>
    </row>
    <row r="316" customFormat="false" ht="15" hidden="false" customHeight="true" outlineLevel="0" collapsed="false">
      <c r="A316" s="9" t="s">
        <v>117</v>
      </c>
      <c r="B316" s="18" t="s">
        <v>35</v>
      </c>
      <c r="C316" s="9" t="s">
        <v>217</v>
      </c>
      <c r="D316" s="18" t="s">
        <v>49</v>
      </c>
      <c r="E316" s="19" t="s">
        <v>321</v>
      </c>
    </row>
    <row r="317" customFormat="false" ht="15" hidden="false" customHeight="true" outlineLevel="0" collapsed="false">
      <c r="A317" s="9" t="s">
        <v>117</v>
      </c>
      <c r="B317" s="18" t="s">
        <v>36</v>
      </c>
      <c r="C317" s="9" t="s">
        <v>219</v>
      </c>
      <c r="D317" s="18" t="s">
        <v>52</v>
      </c>
      <c r="E317" s="19" t="s">
        <v>470</v>
      </c>
    </row>
    <row r="318" customFormat="false" ht="15" hidden="false" customHeight="true" outlineLevel="0" collapsed="false">
      <c r="A318" s="9" t="s">
        <v>117</v>
      </c>
      <c r="B318" s="18" t="s">
        <v>37</v>
      </c>
      <c r="C318" s="9" t="s">
        <v>221</v>
      </c>
      <c r="D318" s="18" t="s">
        <v>52</v>
      </c>
      <c r="E318" s="19" t="s">
        <v>471</v>
      </c>
    </row>
    <row r="319" customFormat="false" ht="15" hidden="false" customHeight="true" outlineLevel="0" collapsed="false">
      <c r="A319" s="9" t="s">
        <v>120</v>
      </c>
      <c r="B319" s="18" t="s">
        <v>23</v>
      </c>
      <c r="C319" s="9" t="s">
        <v>193</v>
      </c>
      <c r="D319" s="18" t="s">
        <v>49</v>
      </c>
      <c r="E319" s="19" t="s">
        <v>472</v>
      </c>
    </row>
    <row r="320" customFormat="false" ht="15" hidden="false" customHeight="true" outlineLevel="0" collapsed="false">
      <c r="A320" s="9" t="s">
        <v>120</v>
      </c>
      <c r="B320" s="18" t="s">
        <v>24</v>
      </c>
      <c r="C320" s="9" t="s">
        <v>195</v>
      </c>
      <c r="D320" s="18"/>
      <c r="E320" s="19" t="s">
        <v>473</v>
      </c>
    </row>
    <row r="321" customFormat="false" ht="15" hidden="false" customHeight="true" outlineLevel="0" collapsed="false">
      <c r="A321" s="9" t="s">
        <v>120</v>
      </c>
      <c r="B321" s="18" t="s">
        <v>25</v>
      </c>
      <c r="C321" s="9" t="s">
        <v>197</v>
      </c>
      <c r="D321" s="18"/>
      <c r="E321" s="19" t="s">
        <v>474</v>
      </c>
    </row>
    <row r="322" customFormat="false" ht="15" hidden="false" customHeight="true" outlineLevel="0" collapsed="false">
      <c r="A322" s="9" t="s">
        <v>120</v>
      </c>
      <c r="B322" s="18" t="s">
        <v>26</v>
      </c>
      <c r="C322" s="9" t="s">
        <v>199</v>
      </c>
      <c r="D322" s="18"/>
      <c r="E322" s="19" t="s">
        <v>475</v>
      </c>
    </row>
    <row r="323" customFormat="false" ht="15" hidden="false" customHeight="true" outlineLevel="0" collapsed="false">
      <c r="A323" s="9" t="s">
        <v>120</v>
      </c>
      <c r="B323" s="18" t="s">
        <v>27</v>
      </c>
      <c r="C323" s="9" t="s">
        <v>201</v>
      </c>
      <c r="D323" s="18" t="s">
        <v>49</v>
      </c>
      <c r="E323" s="19" t="s">
        <v>476</v>
      </c>
    </row>
    <row r="324" customFormat="false" ht="15" hidden="false" customHeight="true" outlineLevel="0" collapsed="false">
      <c r="A324" s="9" t="s">
        <v>120</v>
      </c>
      <c r="B324" s="18" t="s">
        <v>28</v>
      </c>
      <c r="C324" s="9" t="s">
        <v>203</v>
      </c>
      <c r="D324" s="18"/>
      <c r="E324" s="19" t="s">
        <v>477</v>
      </c>
    </row>
    <row r="325" customFormat="false" ht="15" hidden="false" customHeight="true" outlineLevel="0" collapsed="false">
      <c r="A325" s="9" t="s">
        <v>120</v>
      </c>
      <c r="B325" s="18" t="s">
        <v>29</v>
      </c>
      <c r="C325" s="9" t="s">
        <v>205</v>
      </c>
      <c r="D325" s="18" t="s">
        <v>58</v>
      </c>
      <c r="E325" s="19" t="s">
        <v>478</v>
      </c>
    </row>
    <row r="326" customFormat="false" ht="23.25" hidden="false" customHeight="true" outlineLevel="0" collapsed="false">
      <c r="A326" s="9" t="s">
        <v>120</v>
      </c>
      <c r="B326" s="18" t="s">
        <v>30</v>
      </c>
      <c r="C326" s="9" t="s">
        <v>207</v>
      </c>
      <c r="D326" s="18" t="s">
        <v>52</v>
      </c>
      <c r="E326" s="19" t="s">
        <v>383</v>
      </c>
    </row>
    <row r="327" customFormat="false" ht="15" hidden="false" customHeight="true" outlineLevel="0" collapsed="false">
      <c r="A327" s="9" t="s">
        <v>120</v>
      </c>
      <c r="B327" s="18" t="s">
        <v>31</v>
      </c>
      <c r="C327" s="9" t="s">
        <v>209</v>
      </c>
      <c r="D327" s="18" t="s">
        <v>51</v>
      </c>
      <c r="E327" s="19" t="s">
        <v>479</v>
      </c>
    </row>
    <row r="328" customFormat="false" ht="15" hidden="false" customHeight="true" outlineLevel="0" collapsed="false">
      <c r="A328" s="9" t="s">
        <v>120</v>
      </c>
      <c r="B328" s="18" t="s">
        <v>32</v>
      </c>
      <c r="C328" s="9" t="s">
        <v>211</v>
      </c>
      <c r="D328" s="18" t="s">
        <v>58</v>
      </c>
      <c r="E328" s="19" t="s">
        <v>480</v>
      </c>
    </row>
    <row r="329" customFormat="false" ht="15" hidden="false" customHeight="true" outlineLevel="0" collapsed="false">
      <c r="A329" s="9" t="s">
        <v>120</v>
      </c>
      <c r="B329" s="18" t="s">
        <v>33</v>
      </c>
      <c r="C329" s="9" t="s">
        <v>213</v>
      </c>
      <c r="D329" s="18" t="s">
        <v>49</v>
      </c>
      <c r="E329" s="19" t="s">
        <v>481</v>
      </c>
    </row>
    <row r="330" customFormat="false" ht="15" hidden="false" customHeight="true" outlineLevel="0" collapsed="false">
      <c r="A330" s="9" t="s">
        <v>120</v>
      </c>
      <c r="B330" s="18" t="s">
        <v>34</v>
      </c>
      <c r="C330" s="9" t="s">
        <v>215</v>
      </c>
      <c r="D330" s="18" t="s">
        <v>52</v>
      </c>
      <c r="E330" s="19" t="s">
        <v>481</v>
      </c>
    </row>
    <row r="331" customFormat="false" ht="23.25" hidden="false" customHeight="true" outlineLevel="0" collapsed="false">
      <c r="A331" s="9" t="s">
        <v>120</v>
      </c>
      <c r="B331" s="18" t="s">
        <v>35</v>
      </c>
      <c r="C331" s="9" t="s">
        <v>217</v>
      </c>
      <c r="D331" s="18" t="s">
        <v>49</v>
      </c>
      <c r="E331" s="19" t="s">
        <v>482</v>
      </c>
    </row>
    <row r="332" customFormat="false" ht="15" hidden="false" customHeight="true" outlineLevel="0" collapsed="false">
      <c r="A332" s="9" t="s">
        <v>120</v>
      </c>
      <c r="B332" s="18" t="s">
        <v>36</v>
      </c>
      <c r="C332" s="9" t="s">
        <v>219</v>
      </c>
      <c r="D332" s="18" t="s">
        <v>51</v>
      </c>
      <c r="E332" s="19" t="s">
        <v>483</v>
      </c>
    </row>
    <row r="333" customFormat="false" ht="15" hidden="false" customHeight="true" outlineLevel="0" collapsed="false">
      <c r="A333" s="9" t="s">
        <v>120</v>
      </c>
      <c r="B333" s="18" t="s">
        <v>37</v>
      </c>
      <c r="C333" s="9" t="s">
        <v>221</v>
      </c>
      <c r="D333" s="18" t="s">
        <v>49</v>
      </c>
      <c r="E333" s="19" t="s">
        <v>484</v>
      </c>
    </row>
    <row r="334" customFormat="false" ht="15" hidden="false" customHeight="true" outlineLevel="0" collapsed="false">
      <c r="A334" s="9" t="s">
        <v>123</v>
      </c>
      <c r="B334" s="18" t="s">
        <v>23</v>
      </c>
      <c r="C334" s="9" t="s">
        <v>193</v>
      </c>
      <c r="D334" s="18" t="s">
        <v>51</v>
      </c>
      <c r="E334" s="19" t="s">
        <v>485</v>
      </c>
    </row>
    <row r="335" customFormat="false" ht="15" hidden="false" customHeight="true" outlineLevel="0" collapsed="false">
      <c r="A335" s="9" t="s">
        <v>123</v>
      </c>
      <c r="B335" s="18" t="s">
        <v>24</v>
      </c>
      <c r="C335" s="9" t="s">
        <v>195</v>
      </c>
      <c r="D335" s="18" t="s">
        <v>49</v>
      </c>
      <c r="E335" s="19" t="s">
        <v>486</v>
      </c>
    </row>
    <row r="336" customFormat="false" ht="15" hidden="false" customHeight="true" outlineLevel="0" collapsed="false">
      <c r="A336" s="9" t="s">
        <v>123</v>
      </c>
      <c r="B336" s="18" t="s">
        <v>25</v>
      </c>
      <c r="C336" s="9" t="s">
        <v>197</v>
      </c>
      <c r="D336" s="18" t="s">
        <v>58</v>
      </c>
      <c r="E336" s="19" t="s">
        <v>487</v>
      </c>
    </row>
    <row r="337" customFormat="false" ht="15" hidden="false" customHeight="true" outlineLevel="0" collapsed="false">
      <c r="A337" s="9" t="s">
        <v>123</v>
      </c>
      <c r="B337" s="18" t="s">
        <v>26</v>
      </c>
      <c r="C337" s="9" t="s">
        <v>199</v>
      </c>
      <c r="D337" s="18"/>
      <c r="E337" s="19" t="s">
        <v>475</v>
      </c>
    </row>
    <row r="338" customFormat="false" ht="15" hidden="false" customHeight="true" outlineLevel="0" collapsed="false">
      <c r="A338" s="9" t="s">
        <v>123</v>
      </c>
      <c r="B338" s="18" t="s">
        <v>27</v>
      </c>
      <c r="C338" s="9" t="s">
        <v>201</v>
      </c>
      <c r="D338" s="18" t="s">
        <v>58</v>
      </c>
      <c r="E338" s="19" t="s">
        <v>488</v>
      </c>
    </row>
    <row r="339" customFormat="false" ht="15" hidden="false" customHeight="true" outlineLevel="0" collapsed="false">
      <c r="A339" s="9" t="s">
        <v>123</v>
      </c>
      <c r="B339" s="18" t="s">
        <v>28</v>
      </c>
      <c r="C339" s="9" t="s">
        <v>203</v>
      </c>
      <c r="D339" s="18" t="s">
        <v>58</v>
      </c>
      <c r="E339" s="19" t="s">
        <v>489</v>
      </c>
    </row>
    <row r="340" customFormat="false" ht="15" hidden="false" customHeight="true" outlineLevel="0" collapsed="false">
      <c r="A340" s="9" t="s">
        <v>123</v>
      </c>
      <c r="B340" s="18" t="s">
        <v>29</v>
      </c>
      <c r="C340" s="9" t="s">
        <v>205</v>
      </c>
      <c r="D340" s="18" t="s">
        <v>58</v>
      </c>
      <c r="E340" s="19" t="s">
        <v>490</v>
      </c>
    </row>
    <row r="341" customFormat="false" ht="15" hidden="false" customHeight="true" outlineLevel="0" collapsed="false">
      <c r="A341" s="9" t="s">
        <v>123</v>
      </c>
      <c r="B341" s="18" t="s">
        <v>30</v>
      </c>
      <c r="C341" s="9" t="s">
        <v>207</v>
      </c>
      <c r="D341" s="18" t="s">
        <v>49</v>
      </c>
      <c r="E341" s="19" t="s">
        <v>491</v>
      </c>
    </row>
    <row r="342" customFormat="false" ht="15" hidden="false" customHeight="true" outlineLevel="0" collapsed="false">
      <c r="A342" s="9" t="s">
        <v>123</v>
      </c>
      <c r="B342" s="18" t="s">
        <v>31</v>
      </c>
      <c r="C342" s="9" t="s">
        <v>209</v>
      </c>
      <c r="D342" s="18" t="s">
        <v>52</v>
      </c>
      <c r="E342" s="19" t="s">
        <v>492</v>
      </c>
    </row>
    <row r="343" customFormat="false" ht="15" hidden="false" customHeight="true" outlineLevel="0" collapsed="false">
      <c r="A343" s="9" t="s">
        <v>123</v>
      </c>
      <c r="B343" s="18" t="s">
        <v>32</v>
      </c>
      <c r="C343" s="9" t="s">
        <v>211</v>
      </c>
      <c r="D343" s="18"/>
      <c r="E343" s="19" t="s">
        <v>493</v>
      </c>
    </row>
    <row r="344" customFormat="false" ht="15" hidden="false" customHeight="true" outlineLevel="0" collapsed="false">
      <c r="A344" s="9" t="s">
        <v>123</v>
      </c>
      <c r="B344" s="18" t="s">
        <v>33</v>
      </c>
      <c r="C344" s="9" t="s">
        <v>213</v>
      </c>
      <c r="D344" s="18" t="s">
        <v>49</v>
      </c>
      <c r="E344" s="19" t="s">
        <v>248</v>
      </c>
    </row>
    <row r="345" customFormat="false" ht="15" hidden="false" customHeight="true" outlineLevel="0" collapsed="false">
      <c r="A345" s="9" t="s">
        <v>123</v>
      </c>
      <c r="B345" s="18" t="s">
        <v>34</v>
      </c>
      <c r="C345" s="9" t="s">
        <v>215</v>
      </c>
      <c r="D345" s="18" t="s">
        <v>49</v>
      </c>
      <c r="E345" s="19" t="s">
        <v>494</v>
      </c>
    </row>
    <row r="346" customFormat="false" ht="15" hidden="false" customHeight="true" outlineLevel="0" collapsed="false">
      <c r="A346" s="9" t="s">
        <v>123</v>
      </c>
      <c r="B346" s="18" t="s">
        <v>35</v>
      </c>
      <c r="C346" s="9" t="s">
        <v>217</v>
      </c>
      <c r="D346" s="18"/>
      <c r="E346" s="19" t="s">
        <v>346</v>
      </c>
    </row>
    <row r="347" customFormat="false" ht="15" hidden="false" customHeight="true" outlineLevel="0" collapsed="false">
      <c r="A347" s="9" t="s">
        <v>123</v>
      </c>
      <c r="B347" s="18" t="s">
        <v>36</v>
      </c>
      <c r="C347" s="9" t="s">
        <v>219</v>
      </c>
      <c r="D347" s="18" t="s">
        <v>58</v>
      </c>
      <c r="E347" s="19" t="s">
        <v>495</v>
      </c>
    </row>
    <row r="348" customFormat="false" ht="15" hidden="false" customHeight="true" outlineLevel="0" collapsed="false">
      <c r="A348" s="9" t="s">
        <v>123</v>
      </c>
      <c r="B348" s="18" t="s">
        <v>37</v>
      </c>
      <c r="C348" s="9" t="s">
        <v>221</v>
      </c>
      <c r="D348" s="18" t="s">
        <v>52</v>
      </c>
      <c r="E348" s="19" t="s">
        <v>496</v>
      </c>
    </row>
    <row r="349" customFormat="false" ht="15" hidden="false" customHeight="true" outlineLevel="0" collapsed="false">
      <c r="A349" s="9" t="s">
        <v>126</v>
      </c>
      <c r="B349" s="18" t="s">
        <v>23</v>
      </c>
      <c r="C349" s="9" t="s">
        <v>193</v>
      </c>
      <c r="D349" s="18" t="s">
        <v>50</v>
      </c>
      <c r="E349" s="19" t="s">
        <v>432</v>
      </c>
    </row>
    <row r="350" customFormat="false" ht="15" hidden="false" customHeight="true" outlineLevel="0" collapsed="false">
      <c r="A350" s="9" t="s">
        <v>126</v>
      </c>
      <c r="B350" s="18" t="s">
        <v>24</v>
      </c>
      <c r="C350" s="9" t="s">
        <v>195</v>
      </c>
      <c r="D350" s="18" t="s">
        <v>50</v>
      </c>
      <c r="E350" s="19" t="s">
        <v>432</v>
      </c>
    </row>
    <row r="351" customFormat="false" ht="15" hidden="false" customHeight="true" outlineLevel="0" collapsed="false">
      <c r="A351" s="9" t="s">
        <v>126</v>
      </c>
      <c r="B351" s="18" t="s">
        <v>25</v>
      </c>
      <c r="C351" s="9" t="s">
        <v>197</v>
      </c>
      <c r="D351" s="18" t="s">
        <v>50</v>
      </c>
      <c r="E351" s="19" t="s">
        <v>432</v>
      </c>
    </row>
    <row r="352" customFormat="false" ht="15" hidden="false" customHeight="true" outlineLevel="0" collapsed="false">
      <c r="A352" s="9" t="s">
        <v>126</v>
      </c>
      <c r="B352" s="18" t="s">
        <v>26</v>
      </c>
      <c r="C352" s="9" t="s">
        <v>199</v>
      </c>
      <c r="D352" s="18" t="s">
        <v>50</v>
      </c>
      <c r="E352" s="19" t="s">
        <v>432</v>
      </c>
    </row>
    <row r="353" customFormat="false" ht="15" hidden="false" customHeight="true" outlineLevel="0" collapsed="false">
      <c r="A353" s="9" t="s">
        <v>126</v>
      </c>
      <c r="B353" s="18" t="s">
        <v>27</v>
      </c>
      <c r="C353" s="9" t="s">
        <v>201</v>
      </c>
      <c r="D353" s="18" t="s">
        <v>49</v>
      </c>
      <c r="E353" s="19" t="s">
        <v>497</v>
      </c>
    </row>
    <row r="354" customFormat="false" ht="15" hidden="false" customHeight="true" outlineLevel="0" collapsed="false">
      <c r="A354" s="9" t="s">
        <v>126</v>
      </c>
      <c r="B354" s="18" t="s">
        <v>28</v>
      </c>
      <c r="C354" s="9" t="s">
        <v>203</v>
      </c>
      <c r="D354" s="18"/>
      <c r="E354" s="19" t="s">
        <v>477</v>
      </c>
    </row>
    <row r="355" customFormat="false" ht="15" hidden="false" customHeight="true" outlineLevel="0" collapsed="false">
      <c r="A355" s="9" t="s">
        <v>126</v>
      </c>
      <c r="B355" s="18" t="s">
        <v>29</v>
      </c>
      <c r="C355" s="9" t="s">
        <v>205</v>
      </c>
      <c r="D355" s="18" t="s">
        <v>51</v>
      </c>
      <c r="E355" s="19" t="s">
        <v>498</v>
      </c>
    </row>
    <row r="356" customFormat="false" ht="15" hidden="false" customHeight="true" outlineLevel="0" collapsed="false">
      <c r="A356" s="9" t="s">
        <v>126</v>
      </c>
      <c r="B356" s="18" t="s">
        <v>30</v>
      </c>
      <c r="C356" s="9" t="s">
        <v>207</v>
      </c>
      <c r="D356" s="18" t="s">
        <v>49</v>
      </c>
      <c r="E356" s="19" t="s">
        <v>499</v>
      </c>
    </row>
    <row r="357" customFormat="false" ht="15" hidden="false" customHeight="true" outlineLevel="0" collapsed="false">
      <c r="A357" s="9" t="s">
        <v>126</v>
      </c>
      <c r="B357" s="18" t="s">
        <v>31</v>
      </c>
      <c r="C357" s="9" t="s">
        <v>209</v>
      </c>
      <c r="D357" s="18" t="s">
        <v>51</v>
      </c>
      <c r="E357" s="19" t="s">
        <v>500</v>
      </c>
    </row>
    <row r="358" customFormat="false" ht="15" hidden="false" customHeight="true" outlineLevel="0" collapsed="false">
      <c r="A358" s="9" t="s">
        <v>126</v>
      </c>
      <c r="B358" s="18" t="s">
        <v>32</v>
      </c>
      <c r="C358" s="9" t="s">
        <v>211</v>
      </c>
      <c r="D358" s="18" t="s">
        <v>51</v>
      </c>
      <c r="E358" s="19" t="s">
        <v>501</v>
      </c>
    </row>
    <row r="359" customFormat="false" ht="15" hidden="false" customHeight="true" outlineLevel="0" collapsed="false">
      <c r="A359" s="9" t="s">
        <v>126</v>
      </c>
      <c r="B359" s="18" t="s">
        <v>33</v>
      </c>
      <c r="C359" s="9" t="s">
        <v>213</v>
      </c>
      <c r="D359" s="18" t="s">
        <v>49</v>
      </c>
      <c r="E359" s="19" t="s">
        <v>439</v>
      </c>
    </row>
    <row r="360" customFormat="false" ht="15" hidden="false" customHeight="true" outlineLevel="0" collapsed="false">
      <c r="A360" s="9" t="s">
        <v>126</v>
      </c>
      <c r="B360" s="18" t="s">
        <v>34</v>
      </c>
      <c r="C360" s="9" t="s">
        <v>215</v>
      </c>
      <c r="D360" s="18" t="s">
        <v>50</v>
      </c>
      <c r="E360" s="19" t="s">
        <v>216</v>
      </c>
    </row>
    <row r="361" customFormat="false" ht="23.25" hidden="false" customHeight="true" outlineLevel="0" collapsed="false">
      <c r="A361" s="9" t="s">
        <v>126</v>
      </c>
      <c r="B361" s="18" t="s">
        <v>35</v>
      </c>
      <c r="C361" s="9" t="s">
        <v>217</v>
      </c>
      <c r="D361" s="18"/>
      <c r="E361" s="19" t="s">
        <v>449</v>
      </c>
    </row>
    <row r="362" customFormat="false" ht="15" hidden="false" customHeight="true" outlineLevel="0" collapsed="false">
      <c r="A362" s="9" t="s">
        <v>126</v>
      </c>
      <c r="B362" s="18" t="s">
        <v>36</v>
      </c>
      <c r="C362" s="9" t="s">
        <v>219</v>
      </c>
      <c r="D362" s="18" t="s">
        <v>51</v>
      </c>
      <c r="E362" s="19" t="s">
        <v>502</v>
      </c>
    </row>
    <row r="363" customFormat="false" ht="15" hidden="false" customHeight="true" outlineLevel="0" collapsed="false">
      <c r="A363" s="9" t="s">
        <v>126</v>
      </c>
      <c r="B363" s="18" t="s">
        <v>37</v>
      </c>
      <c r="C363" s="9" t="s">
        <v>221</v>
      </c>
      <c r="D363" s="18" t="s">
        <v>50</v>
      </c>
      <c r="E363" s="19" t="s">
        <v>442</v>
      </c>
    </row>
    <row r="364" customFormat="false" ht="15" hidden="false" customHeight="true" outlineLevel="0" collapsed="false">
      <c r="A364" s="9" t="s">
        <v>129</v>
      </c>
      <c r="B364" s="18" t="s">
        <v>23</v>
      </c>
      <c r="C364" s="9" t="s">
        <v>193</v>
      </c>
      <c r="D364" s="18" t="s">
        <v>51</v>
      </c>
      <c r="E364" s="19" t="s">
        <v>503</v>
      </c>
    </row>
    <row r="365" customFormat="false" ht="23.25" hidden="false" customHeight="true" outlineLevel="0" collapsed="false">
      <c r="A365" s="9" t="s">
        <v>129</v>
      </c>
      <c r="B365" s="18" t="s">
        <v>24</v>
      </c>
      <c r="C365" s="9" t="s">
        <v>195</v>
      </c>
      <c r="D365" s="18" t="s">
        <v>72</v>
      </c>
      <c r="E365" s="19" t="s">
        <v>504</v>
      </c>
    </row>
    <row r="366" customFormat="false" ht="15" hidden="false" customHeight="true" outlineLevel="0" collapsed="false">
      <c r="A366" s="9" t="s">
        <v>129</v>
      </c>
      <c r="B366" s="18" t="s">
        <v>25</v>
      </c>
      <c r="C366" s="9" t="s">
        <v>197</v>
      </c>
      <c r="D366" s="18" t="s">
        <v>72</v>
      </c>
      <c r="E366" s="19" t="s">
        <v>505</v>
      </c>
    </row>
    <row r="367" customFormat="false" ht="15" hidden="false" customHeight="true" outlineLevel="0" collapsed="false">
      <c r="A367" s="9" t="s">
        <v>129</v>
      </c>
      <c r="B367" s="18" t="s">
        <v>26</v>
      </c>
      <c r="C367" s="9" t="s">
        <v>199</v>
      </c>
      <c r="D367" s="18"/>
      <c r="E367" s="19" t="s">
        <v>475</v>
      </c>
    </row>
    <row r="368" customFormat="false" ht="15" hidden="false" customHeight="true" outlineLevel="0" collapsed="false">
      <c r="A368" s="9" t="s">
        <v>129</v>
      </c>
      <c r="B368" s="18" t="s">
        <v>27</v>
      </c>
      <c r="C368" s="9" t="s">
        <v>201</v>
      </c>
      <c r="D368" s="18" t="s">
        <v>58</v>
      </c>
      <c r="E368" s="19" t="s">
        <v>506</v>
      </c>
    </row>
    <row r="369" customFormat="false" ht="15" hidden="false" customHeight="true" outlineLevel="0" collapsed="false">
      <c r="A369" s="9" t="s">
        <v>129</v>
      </c>
      <c r="B369" s="18" t="s">
        <v>28</v>
      </c>
      <c r="C369" s="9" t="s">
        <v>203</v>
      </c>
      <c r="D369" s="18"/>
      <c r="E369" s="19" t="s">
        <v>507</v>
      </c>
    </row>
    <row r="370" customFormat="false" ht="15" hidden="false" customHeight="true" outlineLevel="0" collapsed="false">
      <c r="A370" s="9" t="s">
        <v>129</v>
      </c>
      <c r="B370" s="18" t="s">
        <v>29</v>
      </c>
      <c r="C370" s="9" t="s">
        <v>205</v>
      </c>
      <c r="D370" s="18" t="s">
        <v>51</v>
      </c>
      <c r="E370" s="19" t="s">
        <v>508</v>
      </c>
    </row>
    <row r="371" customFormat="false" ht="15" hidden="false" customHeight="true" outlineLevel="0" collapsed="false">
      <c r="A371" s="9" t="s">
        <v>129</v>
      </c>
      <c r="B371" s="18" t="s">
        <v>30</v>
      </c>
      <c r="C371" s="9" t="s">
        <v>207</v>
      </c>
      <c r="D371" s="18" t="s">
        <v>49</v>
      </c>
      <c r="E371" s="19" t="s">
        <v>509</v>
      </c>
    </row>
    <row r="372" customFormat="false" ht="15" hidden="false" customHeight="true" outlineLevel="0" collapsed="false">
      <c r="A372" s="9" t="s">
        <v>129</v>
      </c>
      <c r="B372" s="18" t="s">
        <v>31</v>
      </c>
      <c r="C372" s="9" t="s">
        <v>209</v>
      </c>
      <c r="D372" s="18" t="s">
        <v>51</v>
      </c>
      <c r="E372" s="19" t="s">
        <v>479</v>
      </c>
    </row>
    <row r="373" customFormat="false" ht="15" hidden="false" customHeight="true" outlineLevel="0" collapsed="false">
      <c r="A373" s="9" t="s">
        <v>129</v>
      </c>
      <c r="B373" s="18" t="s">
        <v>32</v>
      </c>
      <c r="C373" s="9" t="s">
        <v>211</v>
      </c>
      <c r="D373" s="18"/>
      <c r="E373" s="19" t="s">
        <v>493</v>
      </c>
    </row>
    <row r="374" customFormat="false" ht="15" hidden="false" customHeight="true" outlineLevel="0" collapsed="false">
      <c r="A374" s="9" t="s">
        <v>129</v>
      </c>
      <c r="B374" s="18" t="s">
        <v>33</v>
      </c>
      <c r="C374" s="9" t="s">
        <v>213</v>
      </c>
      <c r="D374" s="18"/>
      <c r="E374" s="19" t="s">
        <v>510</v>
      </c>
    </row>
    <row r="375" customFormat="false" ht="15" hidden="false" customHeight="true" outlineLevel="0" collapsed="false">
      <c r="A375" s="9" t="s">
        <v>129</v>
      </c>
      <c r="B375" s="18" t="s">
        <v>34</v>
      </c>
      <c r="C375" s="9" t="s">
        <v>215</v>
      </c>
      <c r="D375" s="18" t="s">
        <v>51</v>
      </c>
      <c r="E375" s="19" t="s">
        <v>511</v>
      </c>
    </row>
    <row r="376" customFormat="false" ht="15" hidden="false" customHeight="true" outlineLevel="0" collapsed="false">
      <c r="A376" s="9" t="s">
        <v>129</v>
      </c>
      <c r="B376" s="18" t="s">
        <v>35</v>
      </c>
      <c r="C376" s="9" t="s">
        <v>217</v>
      </c>
      <c r="D376" s="18" t="s">
        <v>49</v>
      </c>
      <c r="E376" s="19" t="s">
        <v>321</v>
      </c>
    </row>
    <row r="377" customFormat="false" ht="15" hidden="false" customHeight="true" outlineLevel="0" collapsed="false">
      <c r="A377" s="9" t="s">
        <v>129</v>
      </c>
      <c r="B377" s="18" t="s">
        <v>36</v>
      </c>
      <c r="C377" s="9" t="s">
        <v>219</v>
      </c>
      <c r="D377" s="18" t="s">
        <v>72</v>
      </c>
      <c r="E377" s="19" t="s">
        <v>512</v>
      </c>
    </row>
    <row r="378" customFormat="false" ht="15" hidden="false" customHeight="true" outlineLevel="0" collapsed="false">
      <c r="A378" s="9" t="s">
        <v>129</v>
      </c>
      <c r="B378" s="18" t="s">
        <v>37</v>
      </c>
      <c r="C378" s="9" t="s">
        <v>221</v>
      </c>
      <c r="D378" s="18" t="s">
        <v>49</v>
      </c>
      <c r="E378" s="19" t="s">
        <v>513</v>
      </c>
    </row>
    <row r="379" customFormat="false" ht="15" hidden="false" customHeight="true" outlineLevel="0" collapsed="false">
      <c r="A379" s="9" t="s">
        <v>132</v>
      </c>
      <c r="B379" s="18" t="s">
        <v>23</v>
      </c>
      <c r="C379" s="9" t="s">
        <v>193</v>
      </c>
      <c r="D379" s="18" t="s">
        <v>49</v>
      </c>
      <c r="E379" s="19" t="s">
        <v>514</v>
      </c>
    </row>
    <row r="380" customFormat="false" ht="15" hidden="false" customHeight="true" outlineLevel="0" collapsed="false">
      <c r="A380" s="9" t="s">
        <v>132</v>
      </c>
      <c r="B380" s="18" t="s">
        <v>24</v>
      </c>
      <c r="C380" s="9" t="s">
        <v>195</v>
      </c>
      <c r="D380" s="18" t="s">
        <v>49</v>
      </c>
      <c r="E380" s="19" t="s">
        <v>515</v>
      </c>
    </row>
    <row r="381" customFormat="false" ht="15" hidden="false" customHeight="true" outlineLevel="0" collapsed="false">
      <c r="A381" s="9" t="s">
        <v>132</v>
      </c>
      <c r="B381" s="18" t="s">
        <v>25</v>
      </c>
      <c r="C381" s="9" t="s">
        <v>197</v>
      </c>
      <c r="D381" s="18" t="s">
        <v>51</v>
      </c>
      <c r="E381" s="19" t="s">
        <v>516</v>
      </c>
    </row>
    <row r="382" customFormat="false" ht="15" hidden="false" customHeight="true" outlineLevel="0" collapsed="false">
      <c r="A382" s="9" t="s">
        <v>132</v>
      </c>
      <c r="B382" s="18" t="s">
        <v>26</v>
      </c>
      <c r="C382" s="9" t="s">
        <v>199</v>
      </c>
      <c r="D382" s="18"/>
      <c r="E382" s="19" t="s">
        <v>475</v>
      </c>
    </row>
    <row r="383" customFormat="false" ht="15" hidden="false" customHeight="true" outlineLevel="0" collapsed="false">
      <c r="A383" s="9" t="s">
        <v>132</v>
      </c>
      <c r="B383" s="18" t="s">
        <v>27</v>
      </c>
      <c r="C383" s="9" t="s">
        <v>201</v>
      </c>
      <c r="D383" s="18" t="s">
        <v>49</v>
      </c>
      <c r="E383" s="19" t="s">
        <v>517</v>
      </c>
    </row>
    <row r="384" customFormat="false" ht="15" hidden="false" customHeight="true" outlineLevel="0" collapsed="false">
      <c r="A384" s="9" t="s">
        <v>132</v>
      </c>
      <c r="B384" s="18" t="s">
        <v>28</v>
      </c>
      <c r="C384" s="9" t="s">
        <v>203</v>
      </c>
      <c r="D384" s="18"/>
      <c r="E384" s="19" t="s">
        <v>477</v>
      </c>
    </row>
    <row r="385" customFormat="false" ht="15" hidden="false" customHeight="true" outlineLevel="0" collapsed="false">
      <c r="A385" s="9" t="s">
        <v>132</v>
      </c>
      <c r="B385" s="18" t="s">
        <v>29</v>
      </c>
      <c r="C385" s="9" t="s">
        <v>205</v>
      </c>
      <c r="D385" s="18" t="s">
        <v>52</v>
      </c>
      <c r="E385" s="19" t="s">
        <v>518</v>
      </c>
    </row>
    <row r="386" customFormat="false" ht="23.25" hidden="false" customHeight="true" outlineLevel="0" collapsed="false">
      <c r="A386" s="9" t="s">
        <v>132</v>
      </c>
      <c r="B386" s="18" t="s">
        <v>30</v>
      </c>
      <c r="C386" s="9" t="s">
        <v>207</v>
      </c>
      <c r="D386" s="18" t="s">
        <v>51</v>
      </c>
      <c r="E386" s="19" t="s">
        <v>383</v>
      </c>
    </row>
    <row r="387" customFormat="false" ht="15" hidden="false" customHeight="true" outlineLevel="0" collapsed="false">
      <c r="A387" s="9" t="s">
        <v>132</v>
      </c>
      <c r="B387" s="18" t="s">
        <v>31</v>
      </c>
      <c r="C387" s="9" t="s">
        <v>209</v>
      </c>
      <c r="D387" s="18" t="s">
        <v>51</v>
      </c>
      <c r="E387" s="19" t="s">
        <v>479</v>
      </c>
    </row>
    <row r="388" customFormat="false" ht="15" hidden="false" customHeight="true" outlineLevel="0" collapsed="false">
      <c r="A388" s="9" t="s">
        <v>132</v>
      </c>
      <c r="B388" s="18" t="s">
        <v>32</v>
      </c>
      <c r="C388" s="9" t="s">
        <v>211</v>
      </c>
      <c r="D388" s="18" t="s">
        <v>58</v>
      </c>
      <c r="E388" s="19" t="s">
        <v>519</v>
      </c>
    </row>
    <row r="389" customFormat="false" ht="15" hidden="false" customHeight="true" outlineLevel="0" collapsed="false">
      <c r="A389" s="9" t="s">
        <v>132</v>
      </c>
      <c r="B389" s="18" t="s">
        <v>33</v>
      </c>
      <c r="C389" s="9" t="s">
        <v>213</v>
      </c>
      <c r="D389" s="18"/>
      <c r="E389" s="19" t="s">
        <v>510</v>
      </c>
    </row>
    <row r="390" customFormat="false" ht="15" hidden="false" customHeight="true" outlineLevel="0" collapsed="false">
      <c r="A390" s="9" t="s">
        <v>132</v>
      </c>
      <c r="B390" s="18" t="s">
        <v>34</v>
      </c>
      <c r="C390" s="9" t="s">
        <v>215</v>
      </c>
      <c r="D390" s="18" t="s">
        <v>52</v>
      </c>
      <c r="E390" s="19" t="s">
        <v>520</v>
      </c>
    </row>
    <row r="391" customFormat="false" ht="15" hidden="false" customHeight="true" outlineLevel="0" collapsed="false">
      <c r="A391" s="9" t="s">
        <v>132</v>
      </c>
      <c r="B391" s="18" t="s">
        <v>35</v>
      </c>
      <c r="C391" s="9" t="s">
        <v>217</v>
      </c>
      <c r="D391" s="18"/>
      <c r="E391" s="19" t="s">
        <v>346</v>
      </c>
    </row>
    <row r="392" customFormat="false" ht="15" hidden="false" customHeight="true" outlineLevel="0" collapsed="false">
      <c r="A392" s="9" t="s">
        <v>132</v>
      </c>
      <c r="B392" s="18" t="s">
        <v>36</v>
      </c>
      <c r="C392" s="9" t="s">
        <v>219</v>
      </c>
      <c r="D392" s="18" t="s">
        <v>58</v>
      </c>
      <c r="E392" s="19" t="s">
        <v>521</v>
      </c>
    </row>
    <row r="393" customFormat="false" ht="15" hidden="false" customHeight="true" outlineLevel="0" collapsed="false">
      <c r="A393" s="9" t="s">
        <v>132</v>
      </c>
      <c r="B393" s="18" t="s">
        <v>37</v>
      </c>
      <c r="C393" s="9" t="s">
        <v>221</v>
      </c>
      <c r="D393" s="18" t="s">
        <v>49</v>
      </c>
      <c r="E393" s="19" t="s">
        <v>522</v>
      </c>
    </row>
    <row r="394" customFormat="false" ht="15" hidden="false" customHeight="true" outlineLevel="0" collapsed="false">
      <c r="A394" s="9" t="s">
        <v>135</v>
      </c>
      <c r="B394" s="18" t="s">
        <v>23</v>
      </c>
      <c r="C394" s="9" t="s">
        <v>193</v>
      </c>
      <c r="D394" s="18" t="s">
        <v>51</v>
      </c>
      <c r="E394" s="19" t="s">
        <v>523</v>
      </c>
    </row>
    <row r="395" customFormat="false" ht="34.5" hidden="false" customHeight="true" outlineLevel="0" collapsed="false">
      <c r="A395" s="9" t="s">
        <v>135</v>
      </c>
      <c r="B395" s="18" t="s">
        <v>24</v>
      </c>
      <c r="C395" s="9" t="s">
        <v>195</v>
      </c>
      <c r="D395" s="18" t="s">
        <v>49</v>
      </c>
      <c r="E395" s="19" t="s">
        <v>524</v>
      </c>
    </row>
    <row r="396" customFormat="false" ht="15" hidden="false" customHeight="true" outlineLevel="0" collapsed="false">
      <c r="A396" s="9" t="s">
        <v>135</v>
      </c>
      <c r="B396" s="18" t="s">
        <v>25</v>
      </c>
      <c r="C396" s="9" t="s">
        <v>197</v>
      </c>
      <c r="D396" s="18"/>
      <c r="E396" s="19" t="s">
        <v>474</v>
      </c>
    </row>
    <row r="397" customFormat="false" ht="15" hidden="false" customHeight="true" outlineLevel="0" collapsed="false">
      <c r="A397" s="9" t="s">
        <v>135</v>
      </c>
      <c r="B397" s="18" t="s">
        <v>26</v>
      </c>
      <c r="C397" s="9" t="s">
        <v>199</v>
      </c>
      <c r="D397" s="18" t="s">
        <v>51</v>
      </c>
      <c r="E397" s="19" t="s">
        <v>525</v>
      </c>
    </row>
    <row r="398" customFormat="false" ht="15" hidden="false" customHeight="true" outlineLevel="0" collapsed="false">
      <c r="A398" s="9" t="s">
        <v>135</v>
      </c>
      <c r="B398" s="18" t="s">
        <v>27</v>
      </c>
      <c r="C398" s="9" t="s">
        <v>201</v>
      </c>
      <c r="D398" s="18" t="s">
        <v>51</v>
      </c>
      <c r="E398" s="19" t="s">
        <v>526</v>
      </c>
    </row>
    <row r="399" customFormat="false" ht="15" hidden="false" customHeight="true" outlineLevel="0" collapsed="false">
      <c r="A399" s="9" t="s">
        <v>135</v>
      </c>
      <c r="B399" s="18" t="s">
        <v>28</v>
      </c>
      <c r="C399" s="9" t="s">
        <v>203</v>
      </c>
      <c r="D399" s="18" t="s">
        <v>72</v>
      </c>
      <c r="E399" s="19" t="s">
        <v>527</v>
      </c>
    </row>
    <row r="400" customFormat="false" ht="15" hidden="false" customHeight="true" outlineLevel="0" collapsed="false">
      <c r="A400" s="9" t="s">
        <v>135</v>
      </c>
      <c r="B400" s="18" t="s">
        <v>29</v>
      </c>
      <c r="C400" s="9" t="s">
        <v>205</v>
      </c>
      <c r="D400" s="18" t="s">
        <v>52</v>
      </c>
      <c r="E400" s="19" t="s">
        <v>528</v>
      </c>
    </row>
    <row r="401" customFormat="false" ht="15" hidden="false" customHeight="true" outlineLevel="0" collapsed="false">
      <c r="A401" s="9" t="s">
        <v>135</v>
      </c>
      <c r="B401" s="18" t="s">
        <v>30</v>
      </c>
      <c r="C401" s="9" t="s">
        <v>207</v>
      </c>
      <c r="D401" s="18" t="s">
        <v>51</v>
      </c>
      <c r="E401" s="19" t="s">
        <v>529</v>
      </c>
    </row>
    <row r="402" customFormat="false" ht="15" hidden="false" customHeight="true" outlineLevel="0" collapsed="false">
      <c r="A402" s="9" t="s">
        <v>135</v>
      </c>
      <c r="B402" s="18" t="s">
        <v>31</v>
      </c>
      <c r="C402" s="9" t="s">
        <v>209</v>
      </c>
      <c r="D402" s="18" t="s">
        <v>51</v>
      </c>
      <c r="E402" s="19" t="s">
        <v>479</v>
      </c>
    </row>
    <row r="403" customFormat="false" ht="15" hidden="false" customHeight="true" outlineLevel="0" collapsed="false">
      <c r="A403" s="9" t="s">
        <v>135</v>
      </c>
      <c r="B403" s="18" t="s">
        <v>32</v>
      </c>
      <c r="C403" s="9" t="s">
        <v>211</v>
      </c>
      <c r="D403" s="18" t="s">
        <v>51</v>
      </c>
      <c r="E403" s="19" t="s">
        <v>530</v>
      </c>
    </row>
    <row r="404" customFormat="false" ht="15" hidden="false" customHeight="true" outlineLevel="0" collapsed="false">
      <c r="A404" s="9" t="s">
        <v>135</v>
      </c>
      <c r="B404" s="18" t="s">
        <v>33</v>
      </c>
      <c r="C404" s="9" t="s">
        <v>213</v>
      </c>
      <c r="D404" s="18" t="s">
        <v>49</v>
      </c>
      <c r="E404" s="19" t="s">
        <v>291</v>
      </c>
    </row>
    <row r="405" customFormat="false" ht="15" hidden="false" customHeight="true" outlineLevel="0" collapsed="false">
      <c r="A405" s="9" t="s">
        <v>135</v>
      </c>
      <c r="B405" s="18" t="s">
        <v>34</v>
      </c>
      <c r="C405" s="9" t="s">
        <v>215</v>
      </c>
      <c r="D405" s="18" t="s">
        <v>50</v>
      </c>
      <c r="E405" s="19" t="s">
        <v>216</v>
      </c>
    </row>
    <row r="406" customFormat="false" ht="15" hidden="false" customHeight="true" outlineLevel="0" collapsed="false">
      <c r="A406" s="9" t="s">
        <v>135</v>
      </c>
      <c r="B406" s="18" t="s">
        <v>35</v>
      </c>
      <c r="C406" s="9" t="s">
        <v>217</v>
      </c>
      <c r="D406" s="18"/>
      <c r="E406" s="19" t="s">
        <v>346</v>
      </c>
    </row>
    <row r="407" customFormat="false" ht="15" hidden="false" customHeight="true" outlineLevel="0" collapsed="false">
      <c r="A407" s="9" t="s">
        <v>135</v>
      </c>
      <c r="B407" s="18" t="s">
        <v>36</v>
      </c>
      <c r="C407" s="9" t="s">
        <v>219</v>
      </c>
      <c r="D407" s="18" t="s">
        <v>58</v>
      </c>
      <c r="E407" s="19" t="s">
        <v>531</v>
      </c>
    </row>
    <row r="408" customFormat="false" ht="15" hidden="false" customHeight="true" outlineLevel="0" collapsed="false">
      <c r="A408" s="9" t="s">
        <v>135</v>
      </c>
      <c r="B408" s="18" t="s">
        <v>37</v>
      </c>
      <c r="C408" s="9" t="s">
        <v>221</v>
      </c>
      <c r="D408" s="18" t="s">
        <v>49</v>
      </c>
      <c r="E408" s="19" t="s">
        <v>532</v>
      </c>
    </row>
    <row r="409" customFormat="false" ht="15" hidden="false" customHeight="true" outlineLevel="0" collapsed="false">
      <c r="A409" s="9" t="s">
        <v>138</v>
      </c>
      <c r="B409" s="18" t="s">
        <v>23</v>
      </c>
      <c r="C409" s="9" t="s">
        <v>193</v>
      </c>
      <c r="D409" s="18" t="s">
        <v>52</v>
      </c>
      <c r="E409" s="19" t="s">
        <v>533</v>
      </c>
    </row>
    <row r="410" customFormat="false" ht="23.25" hidden="false" customHeight="true" outlineLevel="0" collapsed="false">
      <c r="A410" s="9" t="s">
        <v>138</v>
      </c>
      <c r="B410" s="18" t="s">
        <v>24</v>
      </c>
      <c r="C410" s="9" t="s">
        <v>195</v>
      </c>
      <c r="D410" s="18" t="s">
        <v>49</v>
      </c>
      <c r="E410" s="19" t="s">
        <v>534</v>
      </c>
    </row>
    <row r="411" customFormat="false" ht="15" hidden="false" customHeight="true" outlineLevel="0" collapsed="false">
      <c r="A411" s="9" t="s">
        <v>138</v>
      </c>
      <c r="B411" s="18" t="s">
        <v>25</v>
      </c>
      <c r="C411" s="9" t="s">
        <v>197</v>
      </c>
      <c r="D411" s="18" t="s">
        <v>51</v>
      </c>
      <c r="E411" s="19" t="s">
        <v>535</v>
      </c>
    </row>
    <row r="412" customFormat="false" ht="23.25" hidden="false" customHeight="true" outlineLevel="0" collapsed="false">
      <c r="A412" s="9" t="s">
        <v>138</v>
      </c>
      <c r="B412" s="18" t="s">
        <v>26</v>
      </c>
      <c r="C412" s="9" t="s">
        <v>199</v>
      </c>
      <c r="D412" s="18" t="s">
        <v>72</v>
      </c>
      <c r="E412" s="19" t="s">
        <v>536</v>
      </c>
    </row>
    <row r="413" customFormat="false" ht="15" hidden="false" customHeight="true" outlineLevel="0" collapsed="false">
      <c r="A413" s="9" t="s">
        <v>138</v>
      </c>
      <c r="B413" s="18" t="s">
        <v>27</v>
      </c>
      <c r="C413" s="9" t="s">
        <v>201</v>
      </c>
      <c r="D413" s="18" t="s">
        <v>49</v>
      </c>
      <c r="E413" s="19" t="s">
        <v>537</v>
      </c>
    </row>
    <row r="414" customFormat="false" ht="15" hidden="false" customHeight="true" outlineLevel="0" collapsed="false">
      <c r="A414" s="9" t="s">
        <v>138</v>
      </c>
      <c r="B414" s="18" t="s">
        <v>28</v>
      </c>
      <c r="C414" s="9" t="s">
        <v>203</v>
      </c>
      <c r="D414" s="18"/>
      <c r="E414" s="19" t="s">
        <v>538</v>
      </c>
    </row>
    <row r="415" customFormat="false" ht="23.25" hidden="false" customHeight="true" outlineLevel="0" collapsed="false">
      <c r="A415" s="9" t="s">
        <v>138</v>
      </c>
      <c r="B415" s="18" t="s">
        <v>29</v>
      </c>
      <c r="C415" s="9" t="s">
        <v>205</v>
      </c>
      <c r="D415" s="18" t="s">
        <v>52</v>
      </c>
      <c r="E415" s="19" t="s">
        <v>539</v>
      </c>
    </row>
    <row r="416" customFormat="false" ht="15" hidden="false" customHeight="true" outlineLevel="0" collapsed="false">
      <c r="A416" s="9" t="s">
        <v>138</v>
      </c>
      <c r="B416" s="18" t="s">
        <v>30</v>
      </c>
      <c r="C416" s="9" t="s">
        <v>207</v>
      </c>
      <c r="D416" s="18" t="s">
        <v>51</v>
      </c>
      <c r="E416" s="19" t="s">
        <v>540</v>
      </c>
    </row>
    <row r="417" customFormat="false" ht="23.25" hidden="false" customHeight="true" outlineLevel="0" collapsed="false">
      <c r="A417" s="9" t="s">
        <v>138</v>
      </c>
      <c r="B417" s="18" t="s">
        <v>31</v>
      </c>
      <c r="C417" s="9" t="s">
        <v>209</v>
      </c>
      <c r="D417" s="18" t="s">
        <v>51</v>
      </c>
      <c r="E417" s="19" t="s">
        <v>541</v>
      </c>
    </row>
    <row r="418" customFormat="false" ht="15" hidden="false" customHeight="true" outlineLevel="0" collapsed="false">
      <c r="A418" s="9" t="s">
        <v>138</v>
      </c>
      <c r="B418" s="18" t="s">
        <v>32</v>
      </c>
      <c r="C418" s="9" t="s">
        <v>211</v>
      </c>
      <c r="D418" s="18"/>
      <c r="E418" s="19" t="s">
        <v>542</v>
      </c>
    </row>
    <row r="419" customFormat="false" ht="23.25" hidden="false" customHeight="true" outlineLevel="0" collapsed="false">
      <c r="A419" s="9" t="s">
        <v>138</v>
      </c>
      <c r="B419" s="18" t="s">
        <v>33</v>
      </c>
      <c r="C419" s="9" t="s">
        <v>213</v>
      </c>
      <c r="D419" s="18" t="s">
        <v>49</v>
      </c>
      <c r="E419" s="19" t="s">
        <v>543</v>
      </c>
    </row>
    <row r="420" customFormat="false" ht="15" hidden="false" customHeight="true" outlineLevel="0" collapsed="false">
      <c r="A420" s="9" t="s">
        <v>138</v>
      </c>
      <c r="B420" s="18" t="s">
        <v>34</v>
      </c>
      <c r="C420" s="9" t="s">
        <v>215</v>
      </c>
      <c r="D420" s="18" t="s">
        <v>50</v>
      </c>
      <c r="E420" s="19" t="s">
        <v>216</v>
      </c>
    </row>
    <row r="421" customFormat="false" ht="15" hidden="false" customHeight="true" outlineLevel="0" collapsed="false">
      <c r="A421" s="9" t="s">
        <v>138</v>
      </c>
      <c r="B421" s="18" t="s">
        <v>35</v>
      </c>
      <c r="C421" s="9" t="s">
        <v>217</v>
      </c>
      <c r="D421" s="18"/>
      <c r="E421" s="19" t="s">
        <v>544</v>
      </c>
    </row>
    <row r="422" customFormat="false" ht="15" hidden="false" customHeight="true" outlineLevel="0" collapsed="false">
      <c r="A422" s="9" t="s">
        <v>138</v>
      </c>
      <c r="B422" s="18" t="s">
        <v>36</v>
      </c>
      <c r="C422" s="9" t="s">
        <v>219</v>
      </c>
      <c r="D422" s="18" t="s">
        <v>58</v>
      </c>
      <c r="E422" s="19" t="s">
        <v>545</v>
      </c>
    </row>
    <row r="423" customFormat="false" ht="15" hidden="false" customHeight="true" outlineLevel="0" collapsed="false">
      <c r="A423" s="9" t="s">
        <v>138</v>
      </c>
      <c r="B423" s="18" t="s">
        <v>37</v>
      </c>
      <c r="C423" s="9" t="s">
        <v>221</v>
      </c>
      <c r="D423" s="18" t="s">
        <v>49</v>
      </c>
      <c r="E423" s="19" t="s">
        <v>546</v>
      </c>
    </row>
    <row r="424" customFormat="false" ht="15" hidden="false" customHeight="true" outlineLevel="0" collapsed="false">
      <c r="A424" s="9" t="s">
        <v>141</v>
      </c>
      <c r="B424" s="18" t="s">
        <v>23</v>
      </c>
      <c r="C424" s="9" t="s">
        <v>193</v>
      </c>
      <c r="D424" s="18" t="s">
        <v>51</v>
      </c>
      <c r="E424" s="19" t="s">
        <v>547</v>
      </c>
    </row>
    <row r="425" customFormat="false" ht="15" hidden="false" customHeight="true" outlineLevel="0" collapsed="false">
      <c r="A425" s="9" t="s">
        <v>141</v>
      </c>
      <c r="B425" s="18" t="s">
        <v>24</v>
      </c>
      <c r="C425" s="9" t="s">
        <v>195</v>
      </c>
      <c r="D425" s="18" t="s">
        <v>58</v>
      </c>
      <c r="E425" s="19" t="s">
        <v>548</v>
      </c>
    </row>
    <row r="426" customFormat="false" ht="15" hidden="false" customHeight="true" outlineLevel="0" collapsed="false">
      <c r="A426" s="9" t="s">
        <v>141</v>
      </c>
      <c r="B426" s="18" t="s">
        <v>25</v>
      </c>
      <c r="C426" s="9" t="s">
        <v>197</v>
      </c>
      <c r="D426" s="18"/>
      <c r="E426" s="19" t="s">
        <v>549</v>
      </c>
    </row>
    <row r="427" customFormat="false" ht="15" hidden="false" customHeight="true" outlineLevel="0" collapsed="false">
      <c r="A427" s="9" t="s">
        <v>141</v>
      </c>
      <c r="B427" s="18" t="s">
        <v>26</v>
      </c>
      <c r="C427" s="9" t="s">
        <v>199</v>
      </c>
      <c r="D427" s="18"/>
      <c r="E427" s="19" t="s">
        <v>550</v>
      </c>
    </row>
    <row r="428" customFormat="false" ht="15" hidden="false" customHeight="true" outlineLevel="0" collapsed="false">
      <c r="A428" s="9" t="s">
        <v>141</v>
      </c>
      <c r="B428" s="18" t="s">
        <v>27</v>
      </c>
      <c r="C428" s="9" t="s">
        <v>201</v>
      </c>
      <c r="D428" s="18" t="s">
        <v>72</v>
      </c>
      <c r="E428" s="19" t="s">
        <v>551</v>
      </c>
    </row>
    <row r="429" customFormat="false" ht="15" hidden="false" customHeight="true" outlineLevel="0" collapsed="false">
      <c r="A429" s="9" t="s">
        <v>141</v>
      </c>
      <c r="B429" s="18" t="s">
        <v>28</v>
      </c>
      <c r="C429" s="9" t="s">
        <v>203</v>
      </c>
      <c r="D429" s="18"/>
      <c r="E429" s="19" t="s">
        <v>552</v>
      </c>
    </row>
    <row r="430" customFormat="false" ht="15" hidden="false" customHeight="true" outlineLevel="0" collapsed="false">
      <c r="A430" s="9" t="s">
        <v>141</v>
      </c>
      <c r="B430" s="18" t="s">
        <v>29</v>
      </c>
      <c r="C430" s="9" t="s">
        <v>205</v>
      </c>
      <c r="D430" s="18" t="s">
        <v>58</v>
      </c>
      <c r="E430" s="19" t="s">
        <v>553</v>
      </c>
    </row>
    <row r="431" customFormat="false" ht="15" hidden="false" customHeight="true" outlineLevel="0" collapsed="false">
      <c r="A431" s="9" t="s">
        <v>141</v>
      </c>
      <c r="B431" s="18" t="s">
        <v>30</v>
      </c>
      <c r="C431" s="9" t="s">
        <v>207</v>
      </c>
      <c r="D431" s="18" t="s">
        <v>49</v>
      </c>
      <c r="E431" s="19" t="s">
        <v>554</v>
      </c>
    </row>
    <row r="432" customFormat="false" ht="15" hidden="false" customHeight="true" outlineLevel="0" collapsed="false">
      <c r="A432" s="9" t="s">
        <v>141</v>
      </c>
      <c r="B432" s="18" t="s">
        <v>31</v>
      </c>
      <c r="C432" s="9" t="s">
        <v>209</v>
      </c>
      <c r="D432" s="18" t="s">
        <v>58</v>
      </c>
      <c r="E432" s="19" t="s">
        <v>555</v>
      </c>
    </row>
    <row r="433" customFormat="false" ht="15" hidden="false" customHeight="true" outlineLevel="0" collapsed="false">
      <c r="A433" s="9" t="s">
        <v>141</v>
      </c>
      <c r="B433" s="18" t="s">
        <v>32</v>
      </c>
      <c r="C433" s="9" t="s">
        <v>211</v>
      </c>
      <c r="D433" s="18"/>
      <c r="E433" s="19" t="s">
        <v>542</v>
      </c>
    </row>
    <row r="434" customFormat="false" ht="15" hidden="false" customHeight="true" outlineLevel="0" collapsed="false">
      <c r="A434" s="9" t="s">
        <v>141</v>
      </c>
      <c r="B434" s="18" t="s">
        <v>33</v>
      </c>
      <c r="C434" s="9" t="s">
        <v>213</v>
      </c>
      <c r="D434" s="18" t="s">
        <v>49</v>
      </c>
      <c r="E434" s="19" t="s">
        <v>510</v>
      </c>
    </row>
    <row r="435" customFormat="false" ht="15" hidden="false" customHeight="true" outlineLevel="0" collapsed="false">
      <c r="A435" s="9" t="s">
        <v>141</v>
      </c>
      <c r="B435" s="18" t="s">
        <v>34</v>
      </c>
      <c r="C435" s="9" t="s">
        <v>215</v>
      </c>
      <c r="D435" s="18" t="s">
        <v>52</v>
      </c>
      <c r="E435" s="19" t="s">
        <v>556</v>
      </c>
    </row>
    <row r="436" customFormat="false" ht="23.25" hidden="false" customHeight="true" outlineLevel="0" collapsed="false">
      <c r="A436" s="9" t="s">
        <v>141</v>
      </c>
      <c r="B436" s="18" t="s">
        <v>35</v>
      </c>
      <c r="C436" s="9" t="s">
        <v>217</v>
      </c>
      <c r="D436" s="18" t="s">
        <v>49</v>
      </c>
      <c r="E436" s="19" t="s">
        <v>557</v>
      </c>
    </row>
    <row r="437" customFormat="false" ht="15" hidden="false" customHeight="true" outlineLevel="0" collapsed="false">
      <c r="A437" s="9" t="s">
        <v>141</v>
      </c>
      <c r="B437" s="18" t="s">
        <v>36</v>
      </c>
      <c r="C437" s="9" t="s">
        <v>219</v>
      </c>
      <c r="D437" s="18" t="s">
        <v>72</v>
      </c>
      <c r="E437" s="19" t="s">
        <v>558</v>
      </c>
    </row>
    <row r="438" customFormat="false" ht="15" hidden="false" customHeight="true" outlineLevel="0" collapsed="false">
      <c r="A438" s="9" t="s">
        <v>141</v>
      </c>
      <c r="B438" s="18" t="s">
        <v>37</v>
      </c>
      <c r="C438" s="9" t="s">
        <v>221</v>
      </c>
      <c r="D438" s="18" t="s">
        <v>49</v>
      </c>
      <c r="E438" s="19" t="s">
        <v>559</v>
      </c>
    </row>
    <row r="439" customFormat="false" ht="15" hidden="false" customHeight="true" outlineLevel="0" collapsed="false">
      <c r="A439" s="9" t="s">
        <v>144</v>
      </c>
      <c r="B439" s="18" t="s">
        <v>23</v>
      </c>
      <c r="C439" s="9" t="s">
        <v>193</v>
      </c>
      <c r="D439" s="18" t="s">
        <v>49</v>
      </c>
      <c r="E439" s="19" t="s">
        <v>349</v>
      </c>
    </row>
    <row r="440" customFormat="false" ht="15" hidden="false" customHeight="true" outlineLevel="0" collapsed="false">
      <c r="A440" s="9" t="s">
        <v>144</v>
      </c>
      <c r="B440" s="18" t="s">
        <v>24</v>
      </c>
      <c r="C440" s="9" t="s">
        <v>195</v>
      </c>
      <c r="D440" s="18" t="s">
        <v>49</v>
      </c>
      <c r="E440" s="19" t="s">
        <v>560</v>
      </c>
    </row>
    <row r="441" customFormat="false" ht="15" hidden="false" customHeight="true" outlineLevel="0" collapsed="false">
      <c r="A441" s="9" t="s">
        <v>144</v>
      </c>
      <c r="B441" s="18" t="s">
        <v>25</v>
      </c>
      <c r="C441" s="9" t="s">
        <v>197</v>
      </c>
      <c r="D441" s="18" t="s">
        <v>49</v>
      </c>
      <c r="E441" s="19" t="s">
        <v>561</v>
      </c>
    </row>
    <row r="442" customFormat="false" ht="15" hidden="false" customHeight="true" outlineLevel="0" collapsed="false">
      <c r="A442" s="9" t="s">
        <v>144</v>
      </c>
      <c r="B442" s="18" t="s">
        <v>26</v>
      </c>
      <c r="C442" s="9" t="s">
        <v>199</v>
      </c>
      <c r="D442" s="18" t="s">
        <v>50</v>
      </c>
      <c r="E442" s="19" t="s">
        <v>413</v>
      </c>
    </row>
    <row r="443" customFormat="false" ht="15" hidden="false" customHeight="true" outlineLevel="0" collapsed="false">
      <c r="A443" s="9" t="s">
        <v>144</v>
      </c>
      <c r="B443" s="18" t="s">
        <v>27</v>
      </c>
      <c r="C443" s="9" t="s">
        <v>201</v>
      </c>
      <c r="D443" s="18" t="s">
        <v>49</v>
      </c>
      <c r="E443" s="19" t="s">
        <v>562</v>
      </c>
    </row>
    <row r="444" customFormat="false" ht="15" hidden="false" customHeight="true" outlineLevel="0" collapsed="false">
      <c r="A444" s="9" t="s">
        <v>144</v>
      </c>
      <c r="B444" s="18" t="s">
        <v>28</v>
      </c>
      <c r="C444" s="9" t="s">
        <v>203</v>
      </c>
      <c r="D444" s="18"/>
      <c r="E444" s="19" t="s">
        <v>477</v>
      </c>
    </row>
    <row r="445" customFormat="false" ht="15" hidden="false" customHeight="true" outlineLevel="0" collapsed="false">
      <c r="A445" s="9" t="s">
        <v>144</v>
      </c>
      <c r="B445" s="18" t="s">
        <v>29</v>
      </c>
      <c r="C445" s="9" t="s">
        <v>205</v>
      </c>
      <c r="D445" s="18" t="s">
        <v>51</v>
      </c>
      <c r="E445" s="19" t="s">
        <v>563</v>
      </c>
    </row>
    <row r="446" customFormat="false" ht="15" hidden="false" customHeight="true" outlineLevel="0" collapsed="false">
      <c r="A446" s="9" t="s">
        <v>144</v>
      </c>
      <c r="B446" s="18" t="s">
        <v>30</v>
      </c>
      <c r="C446" s="9" t="s">
        <v>207</v>
      </c>
      <c r="D446" s="18" t="s">
        <v>49</v>
      </c>
      <c r="E446" s="19" t="s">
        <v>564</v>
      </c>
    </row>
    <row r="447" customFormat="false" ht="15" hidden="false" customHeight="true" outlineLevel="0" collapsed="false">
      <c r="A447" s="9" t="s">
        <v>144</v>
      </c>
      <c r="B447" s="18" t="s">
        <v>31</v>
      </c>
      <c r="C447" s="9" t="s">
        <v>209</v>
      </c>
      <c r="D447" s="18"/>
      <c r="E447" s="19" t="s">
        <v>468</v>
      </c>
    </row>
    <row r="448" customFormat="false" ht="15" hidden="false" customHeight="true" outlineLevel="0" collapsed="false">
      <c r="A448" s="9" t="s">
        <v>144</v>
      </c>
      <c r="B448" s="18" t="s">
        <v>32</v>
      </c>
      <c r="C448" s="9" t="s">
        <v>211</v>
      </c>
      <c r="D448" s="18" t="s">
        <v>49</v>
      </c>
      <c r="E448" s="19" t="s">
        <v>565</v>
      </c>
    </row>
    <row r="449" customFormat="false" ht="15" hidden="false" customHeight="true" outlineLevel="0" collapsed="false">
      <c r="A449" s="9" t="s">
        <v>144</v>
      </c>
      <c r="B449" s="18" t="s">
        <v>33</v>
      </c>
      <c r="C449" s="9" t="s">
        <v>213</v>
      </c>
      <c r="D449" s="18" t="s">
        <v>72</v>
      </c>
      <c r="E449" s="19" t="s">
        <v>566</v>
      </c>
    </row>
    <row r="450" customFormat="false" ht="15" hidden="false" customHeight="true" outlineLevel="0" collapsed="false">
      <c r="A450" s="9" t="s">
        <v>144</v>
      </c>
      <c r="B450" s="18" t="s">
        <v>34</v>
      </c>
      <c r="C450" s="9" t="s">
        <v>215</v>
      </c>
      <c r="D450" s="18" t="s">
        <v>50</v>
      </c>
      <c r="E450" s="19" t="s">
        <v>216</v>
      </c>
    </row>
    <row r="451" customFormat="false" ht="15" hidden="false" customHeight="true" outlineLevel="0" collapsed="false">
      <c r="A451" s="9" t="s">
        <v>144</v>
      </c>
      <c r="B451" s="18" t="s">
        <v>35</v>
      </c>
      <c r="C451" s="9" t="s">
        <v>217</v>
      </c>
      <c r="D451" s="18" t="s">
        <v>72</v>
      </c>
      <c r="E451" s="19" t="s">
        <v>567</v>
      </c>
    </row>
    <row r="452" customFormat="false" ht="15" hidden="false" customHeight="true" outlineLevel="0" collapsed="false">
      <c r="A452" s="9" t="s">
        <v>144</v>
      </c>
      <c r="B452" s="18" t="s">
        <v>36</v>
      </c>
      <c r="C452" s="9" t="s">
        <v>219</v>
      </c>
      <c r="D452" s="18" t="s">
        <v>51</v>
      </c>
      <c r="E452" s="19" t="s">
        <v>568</v>
      </c>
    </row>
    <row r="453" customFormat="false" ht="15" hidden="false" customHeight="true" outlineLevel="0" collapsed="false">
      <c r="A453" s="9" t="s">
        <v>144</v>
      </c>
      <c r="B453" s="18" t="s">
        <v>37</v>
      </c>
      <c r="C453" s="9" t="s">
        <v>221</v>
      </c>
      <c r="D453" s="18" t="s">
        <v>49</v>
      </c>
      <c r="E453" s="19" t="s">
        <v>569</v>
      </c>
    </row>
    <row r="454" customFormat="false" ht="15" hidden="false" customHeight="true" outlineLevel="0" collapsed="false">
      <c r="A454" s="9" t="s">
        <v>147</v>
      </c>
      <c r="B454" s="18" t="s">
        <v>23</v>
      </c>
      <c r="C454" s="9" t="s">
        <v>193</v>
      </c>
      <c r="D454" s="18" t="s">
        <v>51</v>
      </c>
      <c r="E454" s="19" t="s">
        <v>570</v>
      </c>
    </row>
    <row r="455" customFormat="false" ht="15" hidden="false" customHeight="true" outlineLevel="0" collapsed="false">
      <c r="A455" s="9" t="s">
        <v>147</v>
      </c>
      <c r="B455" s="18" t="s">
        <v>24</v>
      </c>
      <c r="C455" s="9" t="s">
        <v>195</v>
      </c>
      <c r="D455" s="18" t="s">
        <v>58</v>
      </c>
      <c r="E455" s="19" t="s">
        <v>571</v>
      </c>
    </row>
    <row r="456" customFormat="false" ht="23.25" hidden="false" customHeight="true" outlineLevel="0" collapsed="false">
      <c r="A456" s="9" t="s">
        <v>147</v>
      </c>
      <c r="B456" s="18" t="s">
        <v>25</v>
      </c>
      <c r="C456" s="9" t="s">
        <v>197</v>
      </c>
      <c r="D456" s="18" t="s">
        <v>72</v>
      </c>
      <c r="E456" s="19" t="s">
        <v>572</v>
      </c>
    </row>
    <row r="457" customFormat="false" ht="15" hidden="false" customHeight="true" outlineLevel="0" collapsed="false">
      <c r="A457" s="9" t="s">
        <v>147</v>
      </c>
      <c r="B457" s="18" t="s">
        <v>26</v>
      </c>
      <c r="C457" s="9" t="s">
        <v>199</v>
      </c>
      <c r="D457" s="18"/>
      <c r="E457" s="19" t="s">
        <v>573</v>
      </c>
    </row>
    <row r="458" customFormat="false" ht="15" hidden="false" customHeight="true" outlineLevel="0" collapsed="false">
      <c r="A458" s="9" t="s">
        <v>147</v>
      </c>
      <c r="B458" s="18" t="s">
        <v>27</v>
      </c>
      <c r="C458" s="9" t="s">
        <v>201</v>
      </c>
      <c r="D458" s="18" t="s">
        <v>58</v>
      </c>
      <c r="E458" s="19" t="s">
        <v>574</v>
      </c>
    </row>
    <row r="459" customFormat="false" ht="15" hidden="false" customHeight="true" outlineLevel="0" collapsed="false">
      <c r="A459" s="9" t="s">
        <v>147</v>
      </c>
      <c r="B459" s="18" t="s">
        <v>28</v>
      </c>
      <c r="C459" s="9" t="s">
        <v>203</v>
      </c>
      <c r="D459" s="18" t="s">
        <v>72</v>
      </c>
      <c r="E459" s="19" t="s">
        <v>575</v>
      </c>
    </row>
    <row r="460" customFormat="false" ht="15" hidden="false" customHeight="true" outlineLevel="0" collapsed="false">
      <c r="A460" s="9" t="s">
        <v>147</v>
      </c>
      <c r="B460" s="18" t="s">
        <v>29</v>
      </c>
      <c r="C460" s="9" t="s">
        <v>205</v>
      </c>
      <c r="D460" s="18" t="s">
        <v>58</v>
      </c>
      <c r="E460" s="19" t="s">
        <v>576</v>
      </c>
    </row>
    <row r="461" customFormat="false" ht="15" hidden="false" customHeight="true" outlineLevel="0" collapsed="false">
      <c r="A461" s="9" t="s">
        <v>147</v>
      </c>
      <c r="B461" s="18" t="s">
        <v>30</v>
      </c>
      <c r="C461" s="9" t="s">
        <v>207</v>
      </c>
      <c r="D461" s="18" t="s">
        <v>58</v>
      </c>
      <c r="E461" s="19" t="s">
        <v>577</v>
      </c>
    </row>
    <row r="462" customFormat="false" ht="15" hidden="false" customHeight="true" outlineLevel="0" collapsed="false">
      <c r="A462" s="9" t="s">
        <v>147</v>
      </c>
      <c r="B462" s="18" t="s">
        <v>31</v>
      </c>
      <c r="C462" s="9" t="s">
        <v>209</v>
      </c>
      <c r="D462" s="18" t="s">
        <v>52</v>
      </c>
      <c r="E462" s="19" t="s">
        <v>578</v>
      </c>
    </row>
    <row r="463" customFormat="false" ht="15" hidden="false" customHeight="true" outlineLevel="0" collapsed="false">
      <c r="A463" s="9" t="s">
        <v>147</v>
      </c>
      <c r="B463" s="18" t="s">
        <v>32</v>
      </c>
      <c r="C463" s="9" t="s">
        <v>211</v>
      </c>
      <c r="D463" s="18" t="s">
        <v>58</v>
      </c>
      <c r="E463" s="19" t="s">
        <v>579</v>
      </c>
    </row>
    <row r="464" customFormat="false" ht="15" hidden="false" customHeight="true" outlineLevel="0" collapsed="false">
      <c r="A464" s="9" t="s">
        <v>147</v>
      </c>
      <c r="B464" s="18" t="s">
        <v>33</v>
      </c>
      <c r="C464" s="9" t="s">
        <v>213</v>
      </c>
      <c r="D464" s="18" t="s">
        <v>49</v>
      </c>
      <c r="E464" s="19" t="s">
        <v>248</v>
      </c>
    </row>
    <row r="465" customFormat="false" ht="23.25" hidden="false" customHeight="true" outlineLevel="0" collapsed="false">
      <c r="A465" s="9" t="s">
        <v>147</v>
      </c>
      <c r="B465" s="18" t="s">
        <v>34</v>
      </c>
      <c r="C465" s="9" t="s">
        <v>215</v>
      </c>
      <c r="D465" s="18" t="s">
        <v>49</v>
      </c>
      <c r="E465" s="19" t="s">
        <v>580</v>
      </c>
    </row>
    <row r="466" customFormat="false" ht="23.25" hidden="false" customHeight="true" outlineLevel="0" collapsed="false">
      <c r="A466" s="9" t="s">
        <v>147</v>
      </c>
      <c r="B466" s="18" t="s">
        <v>35</v>
      </c>
      <c r="C466" s="9" t="s">
        <v>217</v>
      </c>
      <c r="D466" s="18" t="s">
        <v>49</v>
      </c>
      <c r="E466" s="19" t="s">
        <v>581</v>
      </c>
    </row>
    <row r="467" customFormat="false" ht="15" hidden="false" customHeight="true" outlineLevel="0" collapsed="false">
      <c r="A467" s="9" t="s">
        <v>147</v>
      </c>
      <c r="B467" s="18" t="s">
        <v>36</v>
      </c>
      <c r="C467" s="9" t="s">
        <v>219</v>
      </c>
      <c r="D467" s="18" t="s">
        <v>51</v>
      </c>
      <c r="E467" s="19" t="s">
        <v>582</v>
      </c>
    </row>
    <row r="468" customFormat="false" ht="15" hidden="false" customHeight="true" outlineLevel="0" collapsed="false">
      <c r="A468" s="9" t="s">
        <v>147</v>
      </c>
      <c r="B468" s="18" t="s">
        <v>37</v>
      </c>
      <c r="C468" s="9" t="s">
        <v>221</v>
      </c>
      <c r="D468" s="18" t="s">
        <v>51</v>
      </c>
      <c r="E468" s="19" t="s">
        <v>583</v>
      </c>
    </row>
    <row r="469" customFormat="false" ht="15" hidden="false" customHeight="true" outlineLevel="0" collapsed="false">
      <c r="A469" s="9" t="s">
        <v>150</v>
      </c>
      <c r="B469" s="18" t="s">
        <v>23</v>
      </c>
      <c r="C469" s="9" t="s">
        <v>193</v>
      </c>
      <c r="D469" s="18" t="s">
        <v>52</v>
      </c>
      <c r="E469" s="19" t="s">
        <v>584</v>
      </c>
    </row>
    <row r="470" customFormat="false" ht="23.25" hidden="false" customHeight="true" outlineLevel="0" collapsed="false">
      <c r="A470" s="9" t="s">
        <v>150</v>
      </c>
      <c r="B470" s="18" t="s">
        <v>24</v>
      </c>
      <c r="C470" s="9" t="s">
        <v>195</v>
      </c>
      <c r="D470" s="18" t="s">
        <v>52</v>
      </c>
      <c r="E470" s="19" t="s">
        <v>585</v>
      </c>
    </row>
    <row r="471" customFormat="false" ht="23.25" hidden="false" customHeight="true" outlineLevel="0" collapsed="false">
      <c r="A471" s="9" t="s">
        <v>150</v>
      </c>
      <c r="B471" s="18" t="s">
        <v>25</v>
      </c>
      <c r="C471" s="9" t="s">
        <v>197</v>
      </c>
      <c r="D471" s="18" t="s">
        <v>51</v>
      </c>
      <c r="E471" s="19" t="s">
        <v>586</v>
      </c>
    </row>
    <row r="472" customFormat="false" ht="15" hidden="false" customHeight="true" outlineLevel="0" collapsed="false">
      <c r="A472" s="9" t="s">
        <v>150</v>
      </c>
      <c r="B472" s="18" t="s">
        <v>26</v>
      </c>
      <c r="C472" s="9" t="s">
        <v>199</v>
      </c>
      <c r="D472" s="18" t="s">
        <v>52</v>
      </c>
      <c r="E472" s="19" t="s">
        <v>587</v>
      </c>
    </row>
    <row r="473" customFormat="false" ht="15" hidden="false" customHeight="true" outlineLevel="0" collapsed="false">
      <c r="A473" s="9" t="s">
        <v>150</v>
      </c>
      <c r="B473" s="18" t="s">
        <v>27</v>
      </c>
      <c r="C473" s="9" t="s">
        <v>201</v>
      </c>
      <c r="D473" s="18" t="s">
        <v>49</v>
      </c>
      <c r="E473" s="19" t="s">
        <v>588</v>
      </c>
    </row>
    <row r="474" customFormat="false" ht="15" hidden="false" customHeight="true" outlineLevel="0" collapsed="false">
      <c r="A474" s="9" t="s">
        <v>150</v>
      </c>
      <c r="B474" s="18" t="s">
        <v>28</v>
      </c>
      <c r="C474" s="9" t="s">
        <v>203</v>
      </c>
      <c r="D474" s="18" t="s">
        <v>58</v>
      </c>
      <c r="E474" s="19" t="s">
        <v>589</v>
      </c>
    </row>
    <row r="475" customFormat="false" ht="15" hidden="false" customHeight="true" outlineLevel="0" collapsed="false">
      <c r="A475" s="9" t="s">
        <v>150</v>
      </c>
      <c r="B475" s="18" t="s">
        <v>29</v>
      </c>
      <c r="C475" s="9" t="s">
        <v>205</v>
      </c>
      <c r="D475" s="18" t="s">
        <v>51</v>
      </c>
      <c r="E475" s="19" t="s">
        <v>590</v>
      </c>
    </row>
    <row r="476" customFormat="false" ht="15" hidden="false" customHeight="true" outlineLevel="0" collapsed="false">
      <c r="A476" s="9" t="s">
        <v>150</v>
      </c>
      <c r="B476" s="18" t="s">
        <v>30</v>
      </c>
      <c r="C476" s="9" t="s">
        <v>207</v>
      </c>
      <c r="D476" s="18" t="s">
        <v>49</v>
      </c>
      <c r="E476" s="19" t="s">
        <v>591</v>
      </c>
    </row>
    <row r="477" customFormat="false" ht="15" hidden="false" customHeight="true" outlineLevel="0" collapsed="false">
      <c r="A477" s="9" t="s">
        <v>150</v>
      </c>
      <c r="B477" s="18" t="s">
        <v>31</v>
      </c>
      <c r="C477" s="9" t="s">
        <v>209</v>
      </c>
      <c r="D477" s="18" t="s">
        <v>49</v>
      </c>
      <c r="E477" s="19" t="s">
        <v>592</v>
      </c>
    </row>
    <row r="478" customFormat="false" ht="15" hidden="false" customHeight="true" outlineLevel="0" collapsed="false">
      <c r="A478" s="9" t="s">
        <v>150</v>
      </c>
      <c r="B478" s="18" t="s">
        <v>32</v>
      </c>
      <c r="C478" s="9" t="s">
        <v>211</v>
      </c>
      <c r="D478" s="18"/>
      <c r="E478" s="19" t="s">
        <v>593</v>
      </c>
    </row>
    <row r="479" customFormat="false" ht="15" hidden="false" customHeight="true" outlineLevel="0" collapsed="false">
      <c r="A479" s="9" t="s">
        <v>150</v>
      </c>
      <c r="B479" s="18" t="s">
        <v>33</v>
      </c>
      <c r="C479" s="9" t="s">
        <v>213</v>
      </c>
      <c r="D479" s="18" t="s">
        <v>49</v>
      </c>
      <c r="E479" s="19" t="s">
        <v>594</v>
      </c>
    </row>
    <row r="480" customFormat="false" ht="15" hidden="false" customHeight="true" outlineLevel="0" collapsed="false">
      <c r="A480" s="9" t="s">
        <v>150</v>
      </c>
      <c r="B480" s="18" t="s">
        <v>34</v>
      </c>
      <c r="C480" s="9" t="s">
        <v>215</v>
      </c>
      <c r="D480" s="18" t="s">
        <v>49</v>
      </c>
      <c r="E480" s="19" t="s">
        <v>595</v>
      </c>
    </row>
    <row r="481" customFormat="false" ht="23.25" hidden="false" customHeight="true" outlineLevel="0" collapsed="false">
      <c r="A481" s="9" t="s">
        <v>150</v>
      </c>
      <c r="B481" s="18" t="s">
        <v>35</v>
      </c>
      <c r="C481" s="9" t="s">
        <v>217</v>
      </c>
      <c r="D481" s="18" t="s">
        <v>49</v>
      </c>
      <c r="E481" s="19" t="s">
        <v>596</v>
      </c>
    </row>
    <row r="482" customFormat="false" ht="15" hidden="false" customHeight="true" outlineLevel="0" collapsed="false">
      <c r="A482" s="9" t="s">
        <v>150</v>
      </c>
      <c r="B482" s="18" t="s">
        <v>36</v>
      </c>
      <c r="C482" s="9" t="s">
        <v>219</v>
      </c>
      <c r="D482" s="18" t="s">
        <v>51</v>
      </c>
      <c r="E482" s="19" t="s">
        <v>597</v>
      </c>
    </row>
    <row r="483" customFormat="false" ht="15" hidden="false" customHeight="true" outlineLevel="0" collapsed="false">
      <c r="A483" s="9" t="s">
        <v>150</v>
      </c>
      <c r="B483" s="18" t="s">
        <v>37</v>
      </c>
      <c r="C483" s="9" t="s">
        <v>221</v>
      </c>
      <c r="D483" s="18" t="s">
        <v>49</v>
      </c>
      <c r="E483" s="19" t="s">
        <v>598</v>
      </c>
    </row>
    <row r="484" customFormat="false" ht="15" hidden="false" customHeight="true" outlineLevel="0" collapsed="false">
      <c r="A484" s="9" t="s">
        <v>153</v>
      </c>
      <c r="B484" s="18" t="s">
        <v>23</v>
      </c>
      <c r="C484" s="9" t="s">
        <v>193</v>
      </c>
      <c r="D484" s="18" t="s">
        <v>49</v>
      </c>
      <c r="E484" s="19" t="s">
        <v>599</v>
      </c>
    </row>
    <row r="485" customFormat="false" ht="15" hidden="false" customHeight="true" outlineLevel="0" collapsed="false">
      <c r="A485" s="9" t="s">
        <v>153</v>
      </c>
      <c r="B485" s="18" t="s">
        <v>24</v>
      </c>
      <c r="C485" s="9" t="s">
        <v>195</v>
      </c>
      <c r="D485" s="18" t="s">
        <v>49</v>
      </c>
      <c r="E485" s="19" t="s">
        <v>600</v>
      </c>
    </row>
    <row r="486" customFormat="false" ht="23.25" hidden="false" customHeight="true" outlineLevel="0" collapsed="false">
      <c r="A486" s="9" t="s">
        <v>153</v>
      </c>
      <c r="B486" s="18" t="s">
        <v>25</v>
      </c>
      <c r="C486" s="9" t="s">
        <v>197</v>
      </c>
      <c r="D486" s="18" t="s">
        <v>58</v>
      </c>
      <c r="E486" s="19" t="s">
        <v>601</v>
      </c>
    </row>
    <row r="487" customFormat="false" ht="15" hidden="false" customHeight="true" outlineLevel="0" collapsed="false">
      <c r="A487" s="9" t="s">
        <v>153</v>
      </c>
      <c r="B487" s="18" t="s">
        <v>26</v>
      </c>
      <c r="C487" s="9" t="s">
        <v>199</v>
      </c>
      <c r="D487" s="18" t="s">
        <v>72</v>
      </c>
      <c r="E487" s="19" t="s">
        <v>602</v>
      </c>
    </row>
    <row r="488" customFormat="false" ht="15" hidden="false" customHeight="true" outlineLevel="0" collapsed="false">
      <c r="A488" s="9" t="s">
        <v>153</v>
      </c>
      <c r="B488" s="18" t="s">
        <v>27</v>
      </c>
      <c r="C488" s="9" t="s">
        <v>201</v>
      </c>
      <c r="D488" s="18" t="s">
        <v>49</v>
      </c>
      <c r="E488" s="19" t="s">
        <v>603</v>
      </c>
    </row>
    <row r="489" customFormat="false" ht="23.25" hidden="false" customHeight="true" outlineLevel="0" collapsed="false">
      <c r="A489" s="9" t="s">
        <v>153</v>
      </c>
      <c r="B489" s="18" t="s">
        <v>28</v>
      </c>
      <c r="C489" s="9" t="s">
        <v>203</v>
      </c>
      <c r="D489" s="18" t="s">
        <v>72</v>
      </c>
      <c r="E489" s="19" t="s">
        <v>604</v>
      </c>
    </row>
    <row r="490" customFormat="false" ht="15" hidden="false" customHeight="true" outlineLevel="0" collapsed="false">
      <c r="A490" s="9" t="s">
        <v>153</v>
      </c>
      <c r="B490" s="18" t="s">
        <v>29</v>
      </c>
      <c r="C490" s="9" t="s">
        <v>205</v>
      </c>
      <c r="D490" s="18" t="s">
        <v>51</v>
      </c>
      <c r="E490" s="19" t="s">
        <v>605</v>
      </c>
    </row>
    <row r="491" customFormat="false" ht="15" hidden="false" customHeight="true" outlineLevel="0" collapsed="false">
      <c r="A491" s="9" t="s">
        <v>153</v>
      </c>
      <c r="B491" s="18" t="s">
        <v>30</v>
      </c>
      <c r="C491" s="9" t="s">
        <v>207</v>
      </c>
      <c r="D491" s="18" t="s">
        <v>49</v>
      </c>
      <c r="E491" s="19" t="s">
        <v>606</v>
      </c>
    </row>
    <row r="492" customFormat="false" ht="15" hidden="false" customHeight="true" outlineLevel="0" collapsed="false">
      <c r="A492" s="9" t="s">
        <v>153</v>
      </c>
      <c r="B492" s="18" t="s">
        <v>31</v>
      </c>
      <c r="C492" s="9" t="s">
        <v>209</v>
      </c>
      <c r="D492" s="18" t="s">
        <v>49</v>
      </c>
      <c r="E492" s="19" t="s">
        <v>607</v>
      </c>
    </row>
    <row r="493" customFormat="false" ht="15" hidden="false" customHeight="true" outlineLevel="0" collapsed="false">
      <c r="A493" s="9" t="s">
        <v>153</v>
      </c>
      <c r="B493" s="18" t="s">
        <v>32</v>
      </c>
      <c r="C493" s="9" t="s">
        <v>211</v>
      </c>
      <c r="D493" s="18"/>
      <c r="E493" s="19" t="s">
        <v>593</v>
      </c>
    </row>
    <row r="494" customFormat="false" ht="15" hidden="false" customHeight="true" outlineLevel="0" collapsed="false">
      <c r="A494" s="9" t="s">
        <v>153</v>
      </c>
      <c r="B494" s="18" t="s">
        <v>33</v>
      </c>
      <c r="C494" s="9" t="s">
        <v>213</v>
      </c>
      <c r="D494" s="18" t="s">
        <v>49</v>
      </c>
      <c r="E494" s="19" t="s">
        <v>608</v>
      </c>
    </row>
    <row r="495" customFormat="false" ht="15" hidden="false" customHeight="true" outlineLevel="0" collapsed="false">
      <c r="A495" s="9" t="s">
        <v>153</v>
      </c>
      <c r="B495" s="18" t="s">
        <v>34</v>
      </c>
      <c r="C495" s="9" t="s">
        <v>215</v>
      </c>
      <c r="D495" s="18" t="s">
        <v>49</v>
      </c>
      <c r="E495" s="19" t="s">
        <v>609</v>
      </c>
    </row>
    <row r="496" customFormat="false" ht="23.25" hidden="false" customHeight="true" outlineLevel="0" collapsed="false">
      <c r="A496" s="9" t="s">
        <v>153</v>
      </c>
      <c r="B496" s="18" t="s">
        <v>35</v>
      </c>
      <c r="C496" s="9" t="s">
        <v>217</v>
      </c>
      <c r="D496" s="18"/>
      <c r="E496" s="19" t="s">
        <v>610</v>
      </c>
    </row>
    <row r="497" customFormat="false" ht="15" hidden="false" customHeight="true" outlineLevel="0" collapsed="false">
      <c r="A497" s="9" t="s">
        <v>153</v>
      </c>
      <c r="B497" s="18" t="s">
        <v>36</v>
      </c>
      <c r="C497" s="9" t="s">
        <v>219</v>
      </c>
      <c r="D497" s="18" t="s">
        <v>51</v>
      </c>
      <c r="E497" s="19" t="s">
        <v>611</v>
      </c>
    </row>
    <row r="498" customFormat="false" ht="15" hidden="false" customHeight="true" outlineLevel="0" collapsed="false">
      <c r="A498" s="9" t="s">
        <v>153</v>
      </c>
      <c r="B498" s="18" t="s">
        <v>37</v>
      </c>
      <c r="C498" s="9" t="s">
        <v>221</v>
      </c>
      <c r="D498" s="18" t="s">
        <v>52</v>
      </c>
      <c r="E498" s="19" t="s">
        <v>612</v>
      </c>
    </row>
    <row r="499" customFormat="false" ht="15" hidden="false" customHeight="true" outlineLevel="0" collapsed="false">
      <c r="A499" s="9" t="s">
        <v>156</v>
      </c>
      <c r="B499" s="18" t="s">
        <v>23</v>
      </c>
      <c r="C499" s="9" t="s">
        <v>193</v>
      </c>
      <c r="D499" s="18" t="s">
        <v>52</v>
      </c>
      <c r="E499" s="19" t="s">
        <v>613</v>
      </c>
    </row>
    <row r="500" customFormat="false" ht="15" hidden="false" customHeight="true" outlineLevel="0" collapsed="false">
      <c r="A500" s="9" t="s">
        <v>156</v>
      </c>
      <c r="B500" s="18" t="s">
        <v>24</v>
      </c>
      <c r="C500" s="9" t="s">
        <v>195</v>
      </c>
      <c r="D500" s="18" t="s">
        <v>49</v>
      </c>
      <c r="E500" s="19" t="s">
        <v>614</v>
      </c>
    </row>
    <row r="501" customFormat="false" ht="15" hidden="false" customHeight="true" outlineLevel="0" collapsed="false">
      <c r="A501" s="9" t="s">
        <v>156</v>
      </c>
      <c r="B501" s="18" t="s">
        <v>25</v>
      </c>
      <c r="C501" s="9" t="s">
        <v>197</v>
      </c>
      <c r="D501" s="18"/>
      <c r="E501" s="19" t="s">
        <v>615</v>
      </c>
    </row>
    <row r="502" customFormat="false" ht="15" hidden="false" customHeight="true" outlineLevel="0" collapsed="false">
      <c r="A502" s="9" t="s">
        <v>156</v>
      </c>
      <c r="B502" s="18" t="s">
        <v>26</v>
      </c>
      <c r="C502" s="9" t="s">
        <v>199</v>
      </c>
      <c r="D502" s="18" t="s">
        <v>51</v>
      </c>
      <c r="E502" s="19" t="s">
        <v>616</v>
      </c>
    </row>
    <row r="503" customFormat="false" ht="15" hidden="false" customHeight="true" outlineLevel="0" collapsed="false">
      <c r="A503" s="9" t="s">
        <v>156</v>
      </c>
      <c r="B503" s="18" t="s">
        <v>27</v>
      </c>
      <c r="C503" s="9" t="s">
        <v>201</v>
      </c>
      <c r="D503" s="18" t="s">
        <v>58</v>
      </c>
      <c r="E503" s="19" t="s">
        <v>617</v>
      </c>
    </row>
    <row r="504" customFormat="false" ht="15" hidden="false" customHeight="true" outlineLevel="0" collapsed="false">
      <c r="A504" s="9" t="s">
        <v>156</v>
      </c>
      <c r="B504" s="18" t="s">
        <v>28</v>
      </c>
      <c r="C504" s="9" t="s">
        <v>203</v>
      </c>
      <c r="D504" s="18" t="s">
        <v>72</v>
      </c>
      <c r="E504" s="19" t="s">
        <v>618</v>
      </c>
    </row>
    <row r="505" customFormat="false" ht="15" hidden="false" customHeight="true" outlineLevel="0" collapsed="false">
      <c r="A505" s="9" t="s">
        <v>156</v>
      </c>
      <c r="B505" s="18" t="s">
        <v>29</v>
      </c>
      <c r="C505" s="9" t="s">
        <v>205</v>
      </c>
      <c r="D505" s="18" t="s">
        <v>58</v>
      </c>
      <c r="E505" s="19" t="s">
        <v>619</v>
      </c>
    </row>
    <row r="506" customFormat="false" ht="15" hidden="false" customHeight="true" outlineLevel="0" collapsed="false">
      <c r="A506" s="9" t="s">
        <v>156</v>
      </c>
      <c r="B506" s="18" t="s">
        <v>30</v>
      </c>
      <c r="C506" s="9" t="s">
        <v>207</v>
      </c>
      <c r="D506" s="18" t="s">
        <v>49</v>
      </c>
      <c r="E506" s="19" t="s">
        <v>620</v>
      </c>
    </row>
    <row r="507" customFormat="false" ht="15" hidden="false" customHeight="true" outlineLevel="0" collapsed="false">
      <c r="A507" s="9" t="s">
        <v>156</v>
      </c>
      <c r="B507" s="18" t="s">
        <v>31</v>
      </c>
      <c r="C507" s="9" t="s">
        <v>209</v>
      </c>
      <c r="D507" s="18" t="s">
        <v>51</v>
      </c>
      <c r="E507" s="19" t="s">
        <v>621</v>
      </c>
    </row>
    <row r="508" customFormat="false" ht="15" hidden="false" customHeight="true" outlineLevel="0" collapsed="false">
      <c r="A508" s="9" t="s">
        <v>156</v>
      </c>
      <c r="B508" s="18" t="s">
        <v>32</v>
      </c>
      <c r="C508" s="9" t="s">
        <v>211</v>
      </c>
      <c r="D508" s="18"/>
      <c r="E508" s="19" t="s">
        <v>593</v>
      </c>
    </row>
    <row r="509" customFormat="false" ht="15" hidden="false" customHeight="true" outlineLevel="0" collapsed="false">
      <c r="A509" s="9" t="s">
        <v>156</v>
      </c>
      <c r="B509" s="18" t="s">
        <v>33</v>
      </c>
      <c r="C509" s="9" t="s">
        <v>213</v>
      </c>
      <c r="D509" s="18" t="s">
        <v>49</v>
      </c>
      <c r="E509" s="19" t="s">
        <v>622</v>
      </c>
    </row>
    <row r="510" customFormat="false" ht="15" hidden="false" customHeight="true" outlineLevel="0" collapsed="false">
      <c r="A510" s="9" t="s">
        <v>156</v>
      </c>
      <c r="B510" s="18" t="s">
        <v>34</v>
      </c>
      <c r="C510" s="9" t="s">
        <v>215</v>
      </c>
      <c r="D510" s="18" t="s">
        <v>58</v>
      </c>
      <c r="E510" s="19" t="s">
        <v>623</v>
      </c>
    </row>
    <row r="511" customFormat="false" ht="15" hidden="false" customHeight="true" outlineLevel="0" collapsed="false">
      <c r="A511" s="9" t="s">
        <v>156</v>
      </c>
      <c r="B511" s="18" t="s">
        <v>35</v>
      </c>
      <c r="C511" s="9" t="s">
        <v>217</v>
      </c>
      <c r="D511" s="18"/>
      <c r="E511" s="19" t="s">
        <v>593</v>
      </c>
    </row>
    <row r="512" customFormat="false" ht="15" hidden="false" customHeight="true" outlineLevel="0" collapsed="false">
      <c r="A512" s="9" t="s">
        <v>156</v>
      </c>
      <c r="B512" s="18" t="s">
        <v>36</v>
      </c>
      <c r="C512" s="9" t="s">
        <v>219</v>
      </c>
      <c r="D512" s="18" t="s">
        <v>58</v>
      </c>
      <c r="E512" s="19" t="s">
        <v>624</v>
      </c>
    </row>
    <row r="513" customFormat="false" ht="15" hidden="false" customHeight="true" outlineLevel="0" collapsed="false">
      <c r="A513" s="9" t="s">
        <v>156</v>
      </c>
      <c r="B513" s="18" t="s">
        <v>37</v>
      </c>
      <c r="C513" s="9" t="s">
        <v>221</v>
      </c>
      <c r="D513" s="18" t="s">
        <v>49</v>
      </c>
      <c r="E513" s="19" t="s">
        <v>625</v>
      </c>
    </row>
    <row r="514" customFormat="false" ht="15" hidden="false" customHeight="true" outlineLevel="0" collapsed="false">
      <c r="A514" s="9" t="s">
        <v>159</v>
      </c>
      <c r="B514" s="18" t="s">
        <v>23</v>
      </c>
      <c r="C514" s="9" t="s">
        <v>193</v>
      </c>
      <c r="D514" s="18" t="s">
        <v>49</v>
      </c>
      <c r="E514" s="19" t="s">
        <v>626</v>
      </c>
    </row>
    <row r="515" customFormat="false" ht="15" hidden="false" customHeight="true" outlineLevel="0" collapsed="false">
      <c r="A515" s="9" t="s">
        <v>159</v>
      </c>
      <c r="B515" s="18" t="s">
        <v>24</v>
      </c>
      <c r="C515" s="9" t="s">
        <v>195</v>
      </c>
      <c r="D515" s="18" t="s">
        <v>49</v>
      </c>
      <c r="E515" s="19" t="s">
        <v>627</v>
      </c>
    </row>
    <row r="516" customFormat="false" ht="15" hidden="false" customHeight="true" outlineLevel="0" collapsed="false">
      <c r="A516" s="9" t="s">
        <v>159</v>
      </c>
      <c r="B516" s="18" t="s">
        <v>25</v>
      </c>
      <c r="C516" s="9" t="s">
        <v>197</v>
      </c>
      <c r="D516" s="18"/>
      <c r="E516" s="19" t="s">
        <v>628</v>
      </c>
    </row>
    <row r="517" customFormat="false" ht="15" hidden="false" customHeight="true" outlineLevel="0" collapsed="false">
      <c r="A517" s="9" t="s">
        <v>159</v>
      </c>
      <c r="B517" s="18" t="s">
        <v>26</v>
      </c>
      <c r="C517" s="9" t="s">
        <v>199</v>
      </c>
      <c r="D517" s="18" t="s">
        <v>51</v>
      </c>
      <c r="E517" s="19" t="s">
        <v>629</v>
      </c>
    </row>
    <row r="518" customFormat="false" ht="15" hidden="false" customHeight="true" outlineLevel="0" collapsed="false">
      <c r="A518" s="9" t="s">
        <v>159</v>
      </c>
      <c r="B518" s="18" t="s">
        <v>27</v>
      </c>
      <c r="C518" s="9" t="s">
        <v>201</v>
      </c>
      <c r="D518" s="18" t="s">
        <v>58</v>
      </c>
      <c r="E518" s="19" t="s">
        <v>630</v>
      </c>
    </row>
    <row r="519" customFormat="false" ht="15" hidden="false" customHeight="true" outlineLevel="0" collapsed="false">
      <c r="A519" s="9" t="s">
        <v>159</v>
      </c>
      <c r="B519" s="18" t="s">
        <v>28</v>
      </c>
      <c r="C519" s="9" t="s">
        <v>203</v>
      </c>
      <c r="D519" s="18" t="s">
        <v>72</v>
      </c>
      <c r="E519" s="19" t="s">
        <v>631</v>
      </c>
    </row>
    <row r="520" customFormat="false" ht="15" hidden="false" customHeight="true" outlineLevel="0" collapsed="false">
      <c r="A520" s="9" t="s">
        <v>159</v>
      </c>
      <c r="B520" s="18" t="s">
        <v>29</v>
      </c>
      <c r="C520" s="9" t="s">
        <v>205</v>
      </c>
      <c r="D520" s="18"/>
      <c r="E520" s="19" t="s">
        <v>632</v>
      </c>
    </row>
    <row r="521" customFormat="false" ht="15" hidden="false" customHeight="true" outlineLevel="0" collapsed="false">
      <c r="A521" s="9" t="s">
        <v>159</v>
      </c>
      <c r="B521" s="18" t="s">
        <v>30</v>
      </c>
      <c r="C521" s="9" t="s">
        <v>207</v>
      </c>
      <c r="D521" s="18" t="s">
        <v>49</v>
      </c>
      <c r="E521" s="19" t="s">
        <v>620</v>
      </c>
    </row>
    <row r="522" customFormat="false" ht="15" hidden="false" customHeight="true" outlineLevel="0" collapsed="false">
      <c r="A522" s="9" t="s">
        <v>159</v>
      </c>
      <c r="B522" s="18" t="s">
        <v>31</v>
      </c>
      <c r="C522" s="9" t="s">
        <v>209</v>
      </c>
      <c r="D522" s="18" t="s">
        <v>51</v>
      </c>
      <c r="E522" s="19" t="s">
        <v>633</v>
      </c>
    </row>
    <row r="523" customFormat="false" ht="15" hidden="false" customHeight="true" outlineLevel="0" collapsed="false">
      <c r="A523" s="9" t="s">
        <v>159</v>
      </c>
      <c r="B523" s="18" t="s">
        <v>32</v>
      </c>
      <c r="C523" s="9" t="s">
        <v>211</v>
      </c>
      <c r="D523" s="18"/>
      <c r="E523" s="19" t="s">
        <v>593</v>
      </c>
    </row>
    <row r="524" customFormat="false" ht="15" hidden="false" customHeight="true" outlineLevel="0" collapsed="false">
      <c r="A524" s="9" t="s">
        <v>159</v>
      </c>
      <c r="B524" s="18" t="s">
        <v>33</v>
      </c>
      <c r="C524" s="9" t="s">
        <v>213</v>
      </c>
      <c r="D524" s="18" t="s">
        <v>49</v>
      </c>
      <c r="E524" s="19" t="s">
        <v>634</v>
      </c>
    </row>
    <row r="525" customFormat="false" ht="23.25" hidden="false" customHeight="true" outlineLevel="0" collapsed="false">
      <c r="A525" s="9" t="s">
        <v>159</v>
      </c>
      <c r="B525" s="18" t="s">
        <v>34</v>
      </c>
      <c r="C525" s="9" t="s">
        <v>215</v>
      </c>
      <c r="D525" s="18" t="s">
        <v>52</v>
      </c>
      <c r="E525" s="19" t="s">
        <v>635</v>
      </c>
    </row>
    <row r="526" customFormat="false" ht="15" hidden="false" customHeight="true" outlineLevel="0" collapsed="false">
      <c r="A526" s="9" t="s">
        <v>159</v>
      </c>
      <c r="B526" s="18" t="s">
        <v>35</v>
      </c>
      <c r="C526" s="9" t="s">
        <v>217</v>
      </c>
      <c r="D526" s="18"/>
      <c r="E526" s="19" t="s">
        <v>593</v>
      </c>
    </row>
    <row r="527" customFormat="false" ht="15" hidden="false" customHeight="true" outlineLevel="0" collapsed="false">
      <c r="A527" s="9" t="s">
        <v>159</v>
      </c>
      <c r="B527" s="18" t="s">
        <v>36</v>
      </c>
      <c r="C527" s="9" t="s">
        <v>219</v>
      </c>
      <c r="D527" s="18" t="s">
        <v>51</v>
      </c>
      <c r="E527" s="19" t="s">
        <v>636</v>
      </c>
    </row>
    <row r="528" customFormat="false" ht="15" hidden="false" customHeight="true" outlineLevel="0" collapsed="false">
      <c r="A528" s="9" t="s">
        <v>159</v>
      </c>
      <c r="B528" s="18" t="s">
        <v>37</v>
      </c>
      <c r="C528" s="9" t="s">
        <v>221</v>
      </c>
      <c r="D528" s="18" t="s">
        <v>49</v>
      </c>
      <c r="E528" s="19" t="s">
        <v>637</v>
      </c>
    </row>
    <row r="529" customFormat="false" ht="23.25" hidden="false" customHeight="true" outlineLevel="0" collapsed="false">
      <c r="A529" s="9" t="s">
        <v>162</v>
      </c>
      <c r="B529" s="18" t="s">
        <v>23</v>
      </c>
      <c r="C529" s="9" t="s">
        <v>193</v>
      </c>
      <c r="D529" s="18" t="s">
        <v>52</v>
      </c>
      <c r="E529" s="19" t="s">
        <v>638</v>
      </c>
    </row>
    <row r="530" customFormat="false" ht="23.25" hidden="false" customHeight="true" outlineLevel="0" collapsed="false">
      <c r="A530" s="9" t="s">
        <v>162</v>
      </c>
      <c r="B530" s="18" t="s">
        <v>24</v>
      </c>
      <c r="C530" s="9" t="s">
        <v>195</v>
      </c>
      <c r="D530" s="18" t="s">
        <v>52</v>
      </c>
      <c r="E530" s="19" t="s">
        <v>639</v>
      </c>
    </row>
    <row r="531" customFormat="false" ht="23.25" hidden="false" customHeight="true" outlineLevel="0" collapsed="false">
      <c r="A531" s="9" t="s">
        <v>162</v>
      </c>
      <c r="B531" s="18" t="s">
        <v>25</v>
      </c>
      <c r="C531" s="9" t="s">
        <v>197</v>
      </c>
      <c r="D531" s="18" t="s">
        <v>51</v>
      </c>
      <c r="E531" s="19" t="s">
        <v>640</v>
      </c>
    </row>
    <row r="532" customFormat="false" ht="23.25" hidden="false" customHeight="true" outlineLevel="0" collapsed="false">
      <c r="A532" s="9" t="s">
        <v>162</v>
      </c>
      <c r="B532" s="18" t="s">
        <v>26</v>
      </c>
      <c r="C532" s="9" t="s">
        <v>199</v>
      </c>
      <c r="D532" s="18" t="s">
        <v>58</v>
      </c>
      <c r="E532" s="19" t="s">
        <v>641</v>
      </c>
    </row>
    <row r="533" customFormat="false" ht="23.25" hidden="false" customHeight="true" outlineLevel="0" collapsed="false">
      <c r="A533" s="9" t="s">
        <v>162</v>
      </c>
      <c r="B533" s="18" t="s">
        <v>27</v>
      </c>
      <c r="C533" s="9" t="s">
        <v>201</v>
      </c>
      <c r="D533" s="18" t="s">
        <v>49</v>
      </c>
      <c r="E533" s="19" t="s">
        <v>642</v>
      </c>
    </row>
    <row r="534" customFormat="false" ht="45.75" hidden="false" customHeight="true" outlineLevel="0" collapsed="false">
      <c r="A534" s="9" t="s">
        <v>162</v>
      </c>
      <c r="B534" s="18" t="s">
        <v>28</v>
      </c>
      <c r="C534" s="9" t="s">
        <v>203</v>
      </c>
      <c r="D534" s="18" t="s">
        <v>52</v>
      </c>
      <c r="E534" s="19" t="s">
        <v>643</v>
      </c>
    </row>
    <row r="535" customFormat="false" ht="23.25" hidden="false" customHeight="true" outlineLevel="0" collapsed="false">
      <c r="A535" s="9" t="s">
        <v>162</v>
      </c>
      <c r="B535" s="18" t="s">
        <v>29</v>
      </c>
      <c r="C535" s="9" t="s">
        <v>205</v>
      </c>
      <c r="D535" s="18" t="s">
        <v>52</v>
      </c>
      <c r="E535" s="19" t="s">
        <v>644</v>
      </c>
    </row>
    <row r="536" customFormat="false" ht="45.75" hidden="false" customHeight="true" outlineLevel="0" collapsed="false">
      <c r="A536" s="9" t="s">
        <v>162</v>
      </c>
      <c r="B536" s="18" t="s">
        <v>30</v>
      </c>
      <c r="C536" s="9" t="s">
        <v>207</v>
      </c>
      <c r="D536" s="18" t="s">
        <v>49</v>
      </c>
      <c r="E536" s="19" t="s">
        <v>645</v>
      </c>
    </row>
    <row r="537" customFormat="false" ht="23.25" hidden="false" customHeight="true" outlineLevel="0" collapsed="false">
      <c r="A537" s="9" t="s">
        <v>162</v>
      </c>
      <c r="B537" s="18" t="s">
        <v>31</v>
      </c>
      <c r="C537" s="9" t="s">
        <v>209</v>
      </c>
      <c r="D537" s="18" t="s">
        <v>49</v>
      </c>
      <c r="E537" s="19" t="s">
        <v>646</v>
      </c>
    </row>
    <row r="538" customFormat="false" ht="34.5" hidden="false" customHeight="true" outlineLevel="0" collapsed="false">
      <c r="A538" s="9" t="s">
        <v>162</v>
      </c>
      <c r="B538" s="18" t="s">
        <v>32</v>
      </c>
      <c r="C538" s="9" t="s">
        <v>211</v>
      </c>
      <c r="D538" s="18" t="s">
        <v>52</v>
      </c>
      <c r="E538" s="19" t="s">
        <v>647</v>
      </c>
    </row>
    <row r="539" customFormat="false" ht="23.25" hidden="false" customHeight="true" outlineLevel="0" collapsed="false">
      <c r="A539" s="9" t="s">
        <v>162</v>
      </c>
      <c r="B539" s="18" t="s">
        <v>33</v>
      </c>
      <c r="C539" s="9" t="s">
        <v>213</v>
      </c>
      <c r="D539" s="18" t="s">
        <v>49</v>
      </c>
      <c r="E539" s="19" t="s">
        <v>648</v>
      </c>
    </row>
    <row r="540" customFormat="false" ht="23.25" hidden="false" customHeight="true" outlineLevel="0" collapsed="false">
      <c r="A540" s="9" t="s">
        <v>162</v>
      </c>
      <c r="B540" s="18" t="s">
        <v>34</v>
      </c>
      <c r="C540" s="9" t="s">
        <v>215</v>
      </c>
      <c r="D540" s="18" t="s">
        <v>51</v>
      </c>
      <c r="E540" s="19" t="s">
        <v>649</v>
      </c>
    </row>
    <row r="541" customFormat="false" ht="34.5" hidden="false" customHeight="true" outlineLevel="0" collapsed="false">
      <c r="A541" s="9" t="s">
        <v>162</v>
      </c>
      <c r="B541" s="18" t="s">
        <v>35</v>
      </c>
      <c r="C541" s="9" t="s">
        <v>217</v>
      </c>
      <c r="D541" s="18" t="s">
        <v>49</v>
      </c>
      <c r="E541" s="19" t="s">
        <v>650</v>
      </c>
    </row>
    <row r="542" customFormat="false" ht="15" hidden="false" customHeight="true" outlineLevel="0" collapsed="false">
      <c r="A542" s="9" t="s">
        <v>162</v>
      </c>
      <c r="B542" s="18" t="s">
        <v>36</v>
      </c>
      <c r="C542" s="9" t="s">
        <v>219</v>
      </c>
      <c r="D542" s="18" t="s">
        <v>51</v>
      </c>
      <c r="E542" s="19" t="s">
        <v>651</v>
      </c>
    </row>
    <row r="543" customFormat="false" ht="23.25" hidden="false" customHeight="true" outlineLevel="0" collapsed="false">
      <c r="A543" s="9" t="s">
        <v>162</v>
      </c>
      <c r="B543" s="18" t="s">
        <v>37</v>
      </c>
      <c r="C543" s="9" t="s">
        <v>221</v>
      </c>
      <c r="D543" s="18" t="s">
        <v>58</v>
      </c>
      <c r="E543" s="19" t="s">
        <v>652</v>
      </c>
    </row>
    <row r="544" customFormat="false" ht="68.25" hidden="false" customHeight="true" outlineLevel="0" collapsed="false">
      <c r="A544" s="9" t="s">
        <v>166</v>
      </c>
      <c r="B544" s="18" t="s">
        <v>23</v>
      </c>
      <c r="C544" s="9" t="s">
        <v>193</v>
      </c>
      <c r="D544" s="18" t="s">
        <v>52</v>
      </c>
      <c r="E544" s="19" t="s">
        <v>653</v>
      </c>
    </row>
    <row r="545" customFormat="false" ht="57" hidden="false" customHeight="true" outlineLevel="0" collapsed="false">
      <c r="A545" s="9" t="s">
        <v>166</v>
      </c>
      <c r="B545" s="18" t="s">
        <v>24</v>
      </c>
      <c r="C545" s="9" t="s">
        <v>195</v>
      </c>
      <c r="D545" s="18" t="s">
        <v>51</v>
      </c>
      <c r="E545" s="19" t="s">
        <v>654</v>
      </c>
    </row>
    <row r="546" customFormat="false" ht="34.5" hidden="false" customHeight="true" outlineLevel="0" collapsed="false">
      <c r="A546" s="9" t="s">
        <v>166</v>
      </c>
      <c r="B546" s="18" t="s">
        <v>25</v>
      </c>
      <c r="C546" s="9" t="s">
        <v>197</v>
      </c>
      <c r="D546" s="18" t="s">
        <v>72</v>
      </c>
      <c r="E546" s="19" t="s">
        <v>655</v>
      </c>
    </row>
    <row r="547" customFormat="false" ht="57" hidden="false" customHeight="true" outlineLevel="0" collapsed="false">
      <c r="A547" s="9" t="s">
        <v>166</v>
      </c>
      <c r="B547" s="18" t="s">
        <v>26</v>
      </c>
      <c r="C547" s="9" t="s">
        <v>199</v>
      </c>
      <c r="D547" s="18" t="s">
        <v>72</v>
      </c>
      <c r="E547" s="19" t="s">
        <v>656</v>
      </c>
    </row>
    <row r="548" customFormat="false" ht="34.5" hidden="false" customHeight="true" outlineLevel="0" collapsed="false">
      <c r="A548" s="9" t="s">
        <v>166</v>
      </c>
      <c r="B548" s="18" t="s">
        <v>27</v>
      </c>
      <c r="C548" s="9" t="s">
        <v>201</v>
      </c>
      <c r="D548" s="18" t="s">
        <v>52</v>
      </c>
      <c r="E548" s="19" t="s">
        <v>657</v>
      </c>
    </row>
    <row r="549" customFormat="false" ht="45.75" hidden="false" customHeight="true" outlineLevel="0" collapsed="false">
      <c r="A549" s="9" t="s">
        <v>166</v>
      </c>
      <c r="B549" s="18" t="s">
        <v>28</v>
      </c>
      <c r="C549" s="9" t="s">
        <v>203</v>
      </c>
      <c r="D549" s="18" t="s">
        <v>72</v>
      </c>
      <c r="E549" s="19" t="s">
        <v>658</v>
      </c>
    </row>
    <row r="550" customFormat="false" ht="23.25" hidden="false" customHeight="true" outlineLevel="0" collapsed="false">
      <c r="A550" s="9" t="s">
        <v>166</v>
      </c>
      <c r="B550" s="18" t="s">
        <v>29</v>
      </c>
      <c r="C550" s="9" t="s">
        <v>205</v>
      </c>
      <c r="D550" s="18" t="s">
        <v>58</v>
      </c>
      <c r="E550" s="19" t="s">
        <v>659</v>
      </c>
    </row>
    <row r="551" customFormat="false" ht="57" hidden="false" customHeight="true" outlineLevel="0" collapsed="false">
      <c r="A551" s="9" t="s">
        <v>166</v>
      </c>
      <c r="B551" s="18" t="s">
        <v>30</v>
      </c>
      <c r="C551" s="9" t="s">
        <v>207</v>
      </c>
      <c r="D551" s="18" t="s">
        <v>49</v>
      </c>
      <c r="E551" s="19" t="s">
        <v>660</v>
      </c>
    </row>
    <row r="552" customFormat="false" ht="45.75" hidden="false" customHeight="true" outlineLevel="0" collapsed="false">
      <c r="A552" s="9" t="s">
        <v>166</v>
      </c>
      <c r="B552" s="18" t="s">
        <v>31</v>
      </c>
      <c r="C552" s="9" t="s">
        <v>209</v>
      </c>
      <c r="D552" s="18" t="s">
        <v>51</v>
      </c>
      <c r="E552" s="19" t="s">
        <v>661</v>
      </c>
    </row>
    <row r="553" customFormat="false" ht="102" hidden="false" customHeight="true" outlineLevel="0" collapsed="false">
      <c r="A553" s="9" t="s">
        <v>166</v>
      </c>
      <c r="B553" s="18" t="s">
        <v>32</v>
      </c>
      <c r="C553" s="9" t="s">
        <v>211</v>
      </c>
      <c r="D553" s="18" t="s">
        <v>58</v>
      </c>
      <c r="E553" s="19" t="s">
        <v>662</v>
      </c>
    </row>
    <row r="554" customFormat="false" ht="34.5" hidden="false" customHeight="true" outlineLevel="0" collapsed="false">
      <c r="A554" s="9" t="s">
        <v>166</v>
      </c>
      <c r="B554" s="18" t="s">
        <v>33</v>
      </c>
      <c r="C554" s="9" t="s">
        <v>213</v>
      </c>
      <c r="D554" s="18" t="s">
        <v>49</v>
      </c>
      <c r="E554" s="19" t="s">
        <v>663</v>
      </c>
    </row>
    <row r="555" customFormat="false" ht="34.5" hidden="false" customHeight="true" outlineLevel="0" collapsed="false">
      <c r="A555" s="9" t="s">
        <v>166</v>
      </c>
      <c r="B555" s="18" t="s">
        <v>34</v>
      </c>
      <c r="C555" s="9" t="s">
        <v>215</v>
      </c>
      <c r="D555" s="18" t="s">
        <v>49</v>
      </c>
      <c r="E555" s="19" t="s">
        <v>664</v>
      </c>
    </row>
    <row r="556" customFormat="false" ht="45.75" hidden="false" customHeight="true" outlineLevel="0" collapsed="false">
      <c r="A556" s="9" t="s">
        <v>166</v>
      </c>
      <c r="B556" s="18" t="s">
        <v>35</v>
      </c>
      <c r="C556" s="9" t="s">
        <v>217</v>
      </c>
      <c r="D556" s="18" t="s">
        <v>49</v>
      </c>
      <c r="E556" s="19" t="s">
        <v>665</v>
      </c>
    </row>
    <row r="557" customFormat="false" ht="15" hidden="false" customHeight="true" outlineLevel="0" collapsed="false">
      <c r="A557" s="9" t="s">
        <v>166</v>
      </c>
      <c r="B557" s="18" t="s">
        <v>36</v>
      </c>
      <c r="C557" s="9" t="s">
        <v>219</v>
      </c>
      <c r="D557" s="18" t="s">
        <v>51</v>
      </c>
      <c r="E557" s="19" t="s">
        <v>666</v>
      </c>
    </row>
    <row r="558" customFormat="false" ht="34.5" hidden="false" customHeight="true" outlineLevel="0" collapsed="false">
      <c r="A558" s="9" t="s">
        <v>166</v>
      </c>
      <c r="B558" s="18" t="s">
        <v>37</v>
      </c>
      <c r="C558" s="9" t="s">
        <v>221</v>
      </c>
      <c r="D558" s="18" t="s">
        <v>49</v>
      </c>
      <c r="E558" s="19" t="s">
        <v>667</v>
      </c>
    </row>
    <row r="559" customFormat="false" ht="23.25" hidden="false" customHeight="true" outlineLevel="0" collapsed="false">
      <c r="A559" s="9" t="s">
        <v>169</v>
      </c>
      <c r="B559" s="18" t="s">
        <v>23</v>
      </c>
      <c r="C559" s="9" t="s">
        <v>193</v>
      </c>
      <c r="D559" s="18" t="s">
        <v>52</v>
      </c>
      <c r="E559" s="19" t="s">
        <v>668</v>
      </c>
    </row>
    <row r="560" customFormat="false" ht="57" hidden="false" customHeight="true" outlineLevel="0" collapsed="false">
      <c r="A560" s="9" t="s">
        <v>169</v>
      </c>
      <c r="B560" s="18" t="s">
        <v>24</v>
      </c>
      <c r="C560" s="9" t="s">
        <v>195</v>
      </c>
      <c r="D560" s="18" t="s">
        <v>58</v>
      </c>
      <c r="E560" s="19" t="s">
        <v>669</v>
      </c>
    </row>
    <row r="561" customFormat="false" ht="34.5" hidden="false" customHeight="true" outlineLevel="0" collapsed="false">
      <c r="A561" s="9" t="s">
        <v>169</v>
      </c>
      <c r="B561" s="18" t="s">
        <v>25</v>
      </c>
      <c r="C561" s="9" t="s">
        <v>197</v>
      </c>
      <c r="D561" s="18" t="s">
        <v>58</v>
      </c>
      <c r="E561" s="19" t="s">
        <v>670</v>
      </c>
    </row>
    <row r="562" customFormat="false" ht="57" hidden="false" customHeight="true" outlineLevel="0" collapsed="false">
      <c r="A562" s="9" t="s">
        <v>169</v>
      </c>
      <c r="B562" s="18" t="s">
        <v>26</v>
      </c>
      <c r="C562" s="9" t="s">
        <v>199</v>
      </c>
      <c r="D562" s="18"/>
      <c r="E562" s="19" t="s">
        <v>671</v>
      </c>
    </row>
    <row r="563" customFormat="false" ht="23.25" hidden="false" customHeight="true" outlineLevel="0" collapsed="false">
      <c r="A563" s="9" t="s">
        <v>169</v>
      </c>
      <c r="B563" s="18" t="s">
        <v>27</v>
      </c>
      <c r="C563" s="9" t="s">
        <v>201</v>
      </c>
      <c r="D563" s="18" t="s">
        <v>51</v>
      </c>
      <c r="E563" s="19" t="s">
        <v>672</v>
      </c>
    </row>
    <row r="564" customFormat="false" ht="34.5" hidden="false" customHeight="true" outlineLevel="0" collapsed="false">
      <c r="A564" s="9" t="s">
        <v>169</v>
      </c>
      <c r="B564" s="18" t="s">
        <v>28</v>
      </c>
      <c r="C564" s="9" t="s">
        <v>203</v>
      </c>
      <c r="D564" s="18"/>
      <c r="E564" s="19" t="s">
        <v>673</v>
      </c>
    </row>
    <row r="565" customFormat="false" ht="45.75" hidden="false" customHeight="true" outlineLevel="0" collapsed="false">
      <c r="A565" s="9" t="s">
        <v>169</v>
      </c>
      <c r="B565" s="18" t="s">
        <v>29</v>
      </c>
      <c r="C565" s="9" t="s">
        <v>205</v>
      </c>
      <c r="D565" s="18" t="s">
        <v>51</v>
      </c>
      <c r="E565" s="19" t="s">
        <v>674</v>
      </c>
    </row>
    <row r="566" customFormat="false" ht="34.5" hidden="false" customHeight="true" outlineLevel="0" collapsed="false">
      <c r="A566" s="9" t="s">
        <v>169</v>
      </c>
      <c r="B566" s="18" t="s">
        <v>30</v>
      </c>
      <c r="C566" s="9" t="s">
        <v>207</v>
      </c>
      <c r="D566" s="18" t="s">
        <v>49</v>
      </c>
      <c r="E566" s="19" t="s">
        <v>675</v>
      </c>
    </row>
    <row r="567" customFormat="false" ht="34.5" hidden="false" customHeight="true" outlineLevel="0" collapsed="false">
      <c r="A567" s="9" t="s">
        <v>169</v>
      </c>
      <c r="B567" s="18" t="s">
        <v>31</v>
      </c>
      <c r="C567" s="9" t="s">
        <v>209</v>
      </c>
      <c r="D567" s="18" t="s">
        <v>51</v>
      </c>
      <c r="E567" s="19" t="s">
        <v>676</v>
      </c>
    </row>
    <row r="568" customFormat="false" ht="68.25" hidden="false" customHeight="true" outlineLevel="0" collapsed="false">
      <c r="A568" s="9" t="s">
        <v>169</v>
      </c>
      <c r="B568" s="18" t="s">
        <v>32</v>
      </c>
      <c r="C568" s="9" t="s">
        <v>211</v>
      </c>
      <c r="D568" s="18" t="s">
        <v>51</v>
      </c>
      <c r="E568" s="19" t="s">
        <v>677</v>
      </c>
    </row>
    <row r="569" customFormat="false" ht="45.75" hidden="false" customHeight="true" outlineLevel="0" collapsed="false">
      <c r="A569" s="9" t="s">
        <v>169</v>
      </c>
      <c r="B569" s="18" t="s">
        <v>33</v>
      </c>
      <c r="C569" s="9" t="s">
        <v>213</v>
      </c>
      <c r="D569" s="18" t="s">
        <v>49</v>
      </c>
      <c r="E569" s="19" t="s">
        <v>678</v>
      </c>
    </row>
    <row r="570" customFormat="false" ht="45.75" hidden="false" customHeight="true" outlineLevel="0" collapsed="false">
      <c r="A570" s="9" t="s">
        <v>169</v>
      </c>
      <c r="B570" s="18" t="s">
        <v>34</v>
      </c>
      <c r="C570" s="9" t="s">
        <v>215</v>
      </c>
      <c r="D570" s="18" t="s">
        <v>51</v>
      </c>
      <c r="E570" s="19" t="s">
        <v>679</v>
      </c>
    </row>
    <row r="571" customFormat="false" ht="45.75" hidden="false" customHeight="true" outlineLevel="0" collapsed="false">
      <c r="A571" s="9" t="s">
        <v>169</v>
      </c>
      <c r="B571" s="18" t="s">
        <v>35</v>
      </c>
      <c r="C571" s="9" t="s">
        <v>217</v>
      </c>
      <c r="D571" s="18"/>
      <c r="E571" s="19" t="s">
        <v>680</v>
      </c>
    </row>
    <row r="572" customFormat="false" ht="15" hidden="false" customHeight="true" outlineLevel="0" collapsed="false">
      <c r="A572" s="9" t="s">
        <v>169</v>
      </c>
      <c r="B572" s="18" t="s">
        <v>36</v>
      </c>
      <c r="C572" s="9" t="s">
        <v>219</v>
      </c>
      <c r="D572" s="18" t="s">
        <v>58</v>
      </c>
      <c r="E572" s="19" t="s">
        <v>681</v>
      </c>
    </row>
    <row r="573" customFormat="false" ht="34.5" hidden="false" customHeight="true" outlineLevel="0" collapsed="false">
      <c r="A573" s="9" t="s">
        <v>169</v>
      </c>
      <c r="B573" s="18" t="s">
        <v>37</v>
      </c>
      <c r="C573" s="9" t="s">
        <v>221</v>
      </c>
      <c r="D573" s="18" t="s">
        <v>49</v>
      </c>
      <c r="E573" s="19" t="s">
        <v>682</v>
      </c>
    </row>
  </sheetData>
  <autoFilter ref="A3:E5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4" min="2" style="1" width="60"/>
    <col collapsed="false" customWidth="true" hidden="false" outlineLevel="0" max="5" min="5" style="1" width="40"/>
  </cols>
  <sheetData>
    <row r="1" customFormat="false" ht="15" hidden="false" customHeight="true" outlineLevel="0" collapsed="false">
      <c r="A1" s="4" t="s">
        <v>683</v>
      </c>
    </row>
    <row r="3" customFormat="false" ht="15" hidden="false" customHeight="true" outlineLevel="0" collapsed="false">
      <c r="A3" s="7" t="s">
        <v>15</v>
      </c>
      <c r="B3" s="7" t="s">
        <v>684</v>
      </c>
      <c r="C3" s="7" t="s">
        <v>685</v>
      </c>
      <c r="D3" s="7" t="s">
        <v>686</v>
      </c>
      <c r="E3" s="7" t="s">
        <v>687</v>
      </c>
    </row>
    <row r="4" customFormat="false" ht="34.5" hidden="false" customHeight="true" outlineLevel="0" collapsed="false">
      <c r="A4" s="9" t="s">
        <v>46</v>
      </c>
      <c r="B4" s="19" t="s">
        <v>688</v>
      </c>
      <c r="C4" s="19" t="s">
        <v>689</v>
      </c>
      <c r="D4" s="19" t="s">
        <v>690</v>
      </c>
      <c r="E4" s="19" t="s">
        <v>691</v>
      </c>
    </row>
    <row r="5" customFormat="false" ht="34.5" hidden="false" customHeight="true" outlineLevel="0" collapsed="false">
      <c r="A5" s="9" t="s">
        <v>55</v>
      </c>
      <c r="B5" s="19" t="s">
        <v>692</v>
      </c>
      <c r="C5" s="19" t="s">
        <v>693</v>
      </c>
      <c r="D5" s="19" t="s">
        <v>694</v>
      </c>
      <c r="E5" s="19" t="s">
        <v>691</v>
      </c>
    </row>
    <row r="6" customFormat="false" ht="23.25" hidden="false" customHeight="true" outlineLevel="0" collapsed="false">
      <c r="A6" s="9" t="s">
        <v>61</v>
      </c>
      <c r="B6" s="19" t="s">
        <v>695</v>
      </c>
      <c r="C6" s="19" t="s">
        <v>696</v>
      </c>
      <c r="D6" s="19"/>
      <c r="E6" s="19" t="s">
        <v>691</v>
      </c>
    </row>
    <row r="7" customFormat="false" ht="23.25" hidden="false" customHeight="true" outlineLevel="0" collapsed="false">
      <c r="A7" s="9" t="s">
        <v>64</v>
      </c>
      <c r="B7" s="19" t="s">
        <v>697</v>
      </c>
      <c r="C7" s="19" t="s">
        <v>698</v>
      </c>
      <c r="D7" s="19"/>
      <c r="E7" s="19" t="s">
        <v>691</v>
      </c>
    </row>
    <row r="8" customFormat="false" ht="34.5" hidden="false" customHeight="true" outlineLevel="0" collapsed="false">
      <c r="A8" s="9" t="s">
        <v>67</v>
      </c>
      <c r="B8" s="19" t="s">
        <v>699</v>
      </c>
      <c r="C8" s="19" t="s">
        <v>700</v>
      </c>
      <c r="D8" s="19" t="s">
        <v>701</v>
      </c>
      <c r="E8" s="19" t="s">
        <v>702</v>
      </c>
    </row>
    <row r="9" customFormat="false" ht="23.25" hidden="false" customHeight="true" outlineLevel="0" collapsed="false">
      <c r="A9" s="9" t="s">
        <v>70</v>
      </c>
      <c r="B9" s="19" t="s">
        <v>703</v>
      </c>
      <c r="C9" s="19" t="s">
        <v>704</v>
      </c>
      <c r="D9" s="19"/>
      <c r="E9" s="19" t="s">
        <v>691</v>
      </c>
    </row>
    <row r="10" customFormat="false" ht="23.25" hidden="false" customHeight="true" outlineLevel="0" collapsed="false">
      <c r="A10" s="9" t="s">
        <v>74</v>
      </c>
      <c r="B10" s="19" t="s">
        <v>705</v>
      </c>
      <c r="C10" s="19" t="s">
        <v>706</v>
      </c>
      <c r="D10" s="19"/>
      <c r="E10" s="19" t="s">
        <v>691</v>
      </c>
    </row>
    <row r="11" customFormat="false" ht="23.25" hidden="false" customHeight="true" outlineLevel="0" collapsed="false">
      <c r="A11" s="9" t="s">
        <v>77</v>
      </c>
      <c r="B11" s="19" t="s">
        <v>707</v>
      </c>
      <c r="C11" s="19" t="s">
        <v>708</v>
      </c>
      <c r="D11" s="19" t="s">
        <v>709</v>
      </c>
      <c r="E11" s="19" t="s">
        <v>691</v>
      </c>
    </row>
    <row r="12" customFormat="false" ht="34.5" hidden="false" customHeight="true" outlineLevel="0" collapsed="false">
      <c r="A12" s="9" t="s">
        <v>80</v>
      </c>
      <c r="B12" s="19" t="s">
        <v>710</v>
      </c>
      <c r="C12" s="19" t="s">
        <v>711</v>
      </c>
      <c r="D12" s="19"/>
      <c r="E12" s="19" t="s">
        <v>691</v>
      </c>
    </row>
    <row r="13" customFormat="false" ht="23.25" hidden="false" customHeight="true" outlineLevel="0" collapsed="false">
      <c r="A13" s="9" t="s">
        <v>83</v>
      </c>
      <c r="B13" s="19" t="s">
        <v>712</v>
      </c>
      <c r="C13" s="19" t="s">
        <v>713</v>
      </c>
      <c r="D13" s="19"/>
      <c r="E13" s="19" t="s">
        <v>691</v>
      </c>
    </row>
    <row r="14" customFormat="false" ht="23.25" hidden="false" customHeight="true" outlineLevel="0" collapsed="false">
      <c r="A14" s="9" t="s">
        <v>86</v>
      </c>
      <c r="B14" s="19" t="s">
        <v>714</v>
      </c>
      <c r="C14" s="19" t="s">
        <v>715</v>
      </c>
      <c r="D14" s="19" t="s">
        <v>716</v>
      </c>
      <c r="E14" s="19" t="s">
        <v>717</v>
      </c>
    </row>
    <row r="15" customFormat="false" ht="23.25" hidden="false" customHeight="true" outlineLevel="0" collapsed="false">
      <c r="A15" s="9" t="s">
        <v>88</v>
      </c>
      <c r="B15" s="19" t="s">
        <v>718</v>
      </c>
      <c r="C15" s="19" t="s">
        <v>719</v>
      </c>
      <c r="D15" s="19"/>
      <c r="E15" s="19" t="s">
        <v>691</v>
      </c>
    </row>
    <row r="16" customFormat="false" ht="23.25" hidden="false" customHeight="true" outlineLevel="0" collapsed="false">
      <c r="A16" s="9" t="s">
        <v>91</v>
      </c>
      <c r="B16" s="19" t="s">
        <v>720</v>
      </c>
      <c r="C16" s="19" t="s">
        <v>721</v>
      </c>
      <c r="D16" s="19"/>
      <c r="E16" s="19" t="s">
        <v>691</v>
      </c>
    </row>
    <row r="17" customFormat="false" ht="23.25" hidden="false" customHeight="true" outlineLevel="0" collapsed="false">
      <c r="A17" s="9" t="s">
        <v>94</v>
      </c>
      <c r="B17" s="19" t="s">
        <v>722</v>
      </c>
      <c r="C17" s="19" t="s">
        <v>723</v>
      </c>
      <c r="D17" s="19"/>
      <c r="E17" s="19" t="s">
        <v>691</v>
      </c>
    </row>
    <row r="18" customFormat="false" ht="34.5" hidden="false" customHeight="true" outlineLevel="0" collapsed="false">
      <c r="A18" s="9" t="s">
        <v>97</v>
      </c>
      <c r="B18" s="19" t="s">
        <v>724</v>
      </c>
      <c r="C18" s="19" t="s">
        <v>725</v>
      </c>
      <c r="D18" s="19" t="s">
        <v>726</v>
      </c>
      <c r="E18" s="19" t="s">
        <v>727</v>
      </c>
    </row>
    <row r="19" customFormat="false" ht="23.25" hidden="false" customHeight="true" outlineLevel="0" collapsed="false">
      <c r="A19" s="9" t="s">
        <v>100</v>
      </c>
      <c r="B19" s="19" t="s">
        <v>728</v>
      </c>
      <c r="C19" s="19" t="s">
        <v>729</v>
      </c>
      <c r="D19" s="19"/>
      <c r="E19" s="19" t="s">
        <v>730</v>
      </c>
    </row>
    <row r="20" customFormat="false" ht="23.25" hidden="false" customHeight="true" outlineLevel="0" collapsed="false">
      <c r="A20" s="9" t="s">
        <v>104</v>
      </c>
      <c r="B20" s="19" t="s">
        <v>731</v>
      </c>
      <c r="C20" s="19" t="s">
        <v>732</v>
      </c>
      <c r="D20" s="19"/>
      <c r="E20" s="19" t="s">
        <v>730</v>
      </c>
    </row>
    <row r="21" customFormat="false" ht="23.25" hidden="false" customHeight="true" outlineLevel="0" collapsed="false">
      <c r="A21" s="9" t="s">
        <v>107</v>
      </c>
      <c r="B21" s="19" t="s">
        <v>733</v>
      </c>
      <c r="C21" s="19" t="s">
        <v>734</v>
      </c>
      <c r="D21" s="19" t="s">
        <v>735</v>
      </c>
      <c r="E21" s="19" t="s">
        <v>691</v>
      </c>
    </row>
    <row r="22" customFormat="false" ht="23.25" hidden="false" customHeight="true" outlineLevel="0" collapsed="false">
      <c r="A22" s="9" t="s">
        <v>111</v>
      </c>
      <c r="B22" s="19" t="s">
        <v>736</v>
      </c>
      <c r="C22" s="19" t="s">
        <v>737</v>
      </c>
      <c r="D22" s="19"/>
      <c r="E22" s="19" t="s">
        <v>691</v>
      </c>
    </row>
    <row r="23" customFormat="false" ht="23.25" hidden="false" customHeight="true" outlineLevel="0" collapsed="false">
      <c r="A23" s="9" t="s">
        <v>114</v>
      </c>
      <c r="B23" s="19" t="s">
        <v>738</v>
      </c>
      <c r="C23" s="19" t="s">
        <v>739</v>
      </c>
      <c r="D23" s="19"/>
      <c r="E23" s="19" t="s">
        <v>691</v>
      </c>
    </row>
    <row r="24" customFormat="false" ht="23.25" hidden="false" customHeight="true" outlineLevel="0" collapsed="false">
      <c r="A24" s="9" t="s">
        <v>117</v>
      </c>
      <c r="B24" s="19" t="s">
        <v>740</v>
      </c>
      <c r="C24" s="19" t="s">
        <v>741</v>
      </c>
      <c r="D24" s="19"/>
      <c r="E24" s="19" t="s">
        <v>691</v>
      </c>
    </row>
    <row r="25" customFormat="false" ht="23.25" hidden="false" customHeight="true" outlineLevel="0" collapsed="false">
      <c r="A25" s="9" t="s">
        <v>120</v>
      </c>
      <c r="B25" s="19" t="s">
        <v>742</v>
      </c>
      <c r="C25" s="19" t="s">
        <v>743</v>
      </c>
      <c r="D25" s="19" t="s">
        <v>744</v>
      </c>
      <c r="E25" s="19" t="s">
        <v>691</v>
      </c>
    </row>
    <row r="26" customFormat="false" ht="23.25" hidden="false" customHeight="true" outlineLevel="0" collapsed="false">
      <c r="A26" s="9" t="s">
        <v>123</v>
      </c>
      <c r="B26" s="19" t="s">
        <v>745</v>
      </c>
      <c r="C26" s="19" t="s">
        <v>746</v>
      </c>
      <c r="D26" s="19"/>
      <c r="E26" s="19" t="s">
        <v>691</v>
      </c>
    </row>
    <row r="27" customFormat="false" ht="23.25" hidden="false" customHeight="true" outlineLevel="0" collapsed="false">
      <c r="A27" s="9" t="s">
        <v>126</v>
      </c>
      <c r="B27" s="19" t="s">
        <v>747</v>
      </c>
      <c r="C27" s="19" t="s">
        <v>748</v>
      </c>
      <c r="D27" s="19"/>
      <c r="E27" s="19" t="s">
        <v>691</v>
      </c>
    </row>
    <row r="28" customFormat="false" ht="23.25" hidden="false" customHeight="true" outlineLevel="0" collapsed="false">
      <c r="A28" s="9" t="s">
        <v>129</v>
      </c>
      <c r="B28" s="19" t="s">
        <v>749</v>
      </c>
      <c r="C28" s="19" t="s">
        <v>750</v>
      </c>
      <c r="D28" s="19"/>
      <c r="E28" s="19" t="s">
        <v>691</v>
      </c>
    </row>
    <row r="29" customFormat="false" ht="34.5" hidden="false" customHeight="true" outlineLevel="0" collapsed="false">
      <c r="A29" s="9" t="s">
        <v>132</v>
      </c>
      <c r="B29" s="19" t="s">
        <v>751</v>
      </c>
      <c r="C29" s="19" t="s">
        <v>752</v>
      </c>
      <c r="D29" s="19" t="s">
        <v>753</v>
      </c>
      <c r="E29" s="19" t="s">
        <v>754</v>
      </c>
    </row>
    <row r="30" customFormat="false" ht="23.25" hidden="false" customHeight="true" outlineLevel="0" collapsed="false">
      <c r="A30" s="9" t="s">
        <v>135</v>
      </c>
      <c r="B30" s="19" t="s">
        <v>755</v>
      </c>
      <c r="C30" s="19" t="s">
        <v>756</v>
      </c>
      <c r="D30" s="19"/>
      <c r="E30" s="19" t="s">
        <v>691</v>
      </c>
    </row>
    <row r="31" customFormat="false" ht="34.5" hidden="false" customHeight="true" outlineLevel="0" collapsed="false">
      <c r="A31" s="9" t="s">
        <v>138</v>
      </c>
      <c r="B31" s="19" t="s">
        <v>757</v>
      </c>
      <c r="C31" s="19" t="s">
        <v>758</v>
      </c>
      <c r="D31" s="19" t="s">
        <v>759</v>
      </c>
      <c r="E31" s="19" t="s">
        <v>760</v>
      </c>
    </row>
    <row r="32" customFormat="false" ht="23.25" hidden="false" customHeight="true" outlineLevel="0" collapsed="false">
      <c r="A32" s="9" t="s">
        <v>141</v>
      </c>
      <c r="B32" s="19" t="s">
        <v>761</v>
      </c>
      <c r="C32" s="19" t="s">
        <v>762</v>
      </c>
      <c r="D32" s="19"/>
      <c r="E32" s="19" t="s">
        <v>691</v>
      </c>
    </row>
    <row r="33" customFormat="false" ht="23.25" hidden="false" customHeight="true" outlineLevel="0" collapsed="false">
      <c r="A33" s="9" t="s">
        <v>144</v>
      </c>
      <c r="B33" s="19" t="s">
        <v>763</v>
      </c>
      <c r="C33" s="19" t="s">
        <v>764</v>
      </c>
      <c r="D33" s="19"/>
      <c r="E33" s="19" t="s">
        <v>730</v>
      </c>
    </row>
    <row r="34" customFormat="false" ht="34.5" hidden="false" customHeight="true" outlineLevel="0" collapsed="false">
      <c r="A34" s="9" t="s">
        <v>147</v>
      </c>
      <c r="B34" s="19" t="s">
        <v>765</v>
      </c>
      <c r="C34" s="19" t="s">
        <v>766</v>
      </c>
      <c r="D34" s="19" t="s">
        <v>767</v>
      </c>
      <c r="E34" s="19" t="s">
        <v>768</v>
      </c>
    </row>
    <row r="35" customFormat="false" ht="45.75" hidden="false" customHeight="true" outlineLevel="0" collapsed="false">
      <c r="A35" s="9" t="s">
        <v>162</v>
      </c>
      <c r="B35" s="19" t="s">
        <v>769</v>
      </c>
      <c r="C35" s="19" t="s">
        <v>770</v>
      </c>
      <c r="D35" s="19" t="s">
        <v>771</v>
      </c>
      <c r="E35" s="19" t="s">
        <v>691</v>
      </c>
    </row>
    <row r="36" customFormat="false" ht="57" hidden="false" customHeight="true" outlineLevel="0" collapsed="false">
      <c r="A36" s="9" t="s">
        <v>166</v>
      </c>
      <c r="B36" s="19" t="s">
        <v>772</v>
      </c>
      <c r="C36" s="19" t="s">
        <v>773</v>
      </c>
      <c r="D36" s="19" t="s">
        <v>774</v>
      </c>
      <c r="E36" s="19" t="s">
        <v>691</v>
      </c>
    </row>
    <row r="37" customFormat="false" ht="57" hidden="false" customHeight="true" outlineLevel="0" collapsed="false">
      <c r="A37" s="9" t="s">
        <v>169</v>
      </c>
      <c r="B37" s="19" t="s">
        <v>775</v>
      </c>
      <c r="C37" s="19" t="s">
        <v>776</v>
      </c>
      <c r="D37" s="19" t="s">
        <v>777</v>
      </c>
      <c r="E37" s="19" t="s">
        <v>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24"/>
    <col collapsed="false" customWidth="true" hidden="false" outlineLevel="0" max="6" min="6" style="1" width="12"/>
    <col collapsed="false" customWidth="true" hidden="false" outlineLevel="0" max="8" min="7" style="1" width="10"/>
    <col collapsed="false" customWidth="true" hidden="false" outlineLevel="0" max="9" min="9" style="1" width="12"/>
    <col collapsed="false" customWidth="true" hidden="false" outlineLevel="0" max="10" min="10" style="1" width="10"/>
  </cols>
  <sheetData>
    <row r="1" customFormat="false" ht="15" hidden="false" customHeight="true" outlineLevel="0" collapsed="false">
      <c r="A1" s="4" t="s">
        <v>778</v>
      </c>
    </row>
    <row r="3" customFormat="false" ht="15" hidden="false" customHeight="true" outlineLevel="0" collapsed="false">
      <c r="A3" s="20" t="s">
        <v>779</v>
      </c>
      <c r="B3" s="20" t="s">
        <v>780</v>
      </c>
      <c r="C3" s="20" t="s">
        <v>781</v>
      </c>
      <c r="D3" s="20" t="s">
        <v>782</v>
      </c>
      <c r="E3" s="20" t="s">
        <v>783</v>
      </c>
      <c r="F3" s="20" t="s">
        <v>784</v>
      </c>
      <c r="G3" s="20" t="s">
        <v>785</v>
      </c>
      <c r="H3" s="20" t="s">
        <v>786</v>
      </c>
      <c r="I3" s="20" t="s">
        <v>787</v>
      </c>
      <c r="J3" s="20" t="s">
        <v>788</v>
      </c>
    </row>
    <row r="4" customFormat="false" ht="15" hidden="false" customHeight="true" outlineLevel="0" collapsed="false">
      <c r="A4" s="21" t="s">
        <v>55</v>
      </c>
      <c r="B4" s="21" t="s">
        <v>789</v>
      </c>
      <c r="C4" s="21" t="n">
        <v>-3.3</v>
      </c>
      <c r="D4" s="21" t="s">
        <v>51</v>
      </c>
      <c r="E4" s="21" t="s">
        <v>790</v>
      </c>
      <c r="F4" s="21" t="n">
        <v>-10.2</v>
      </c>
      <c r="G4" s="21" t="s">
        <v>58</v>
      </c>
      <c r="H4" s="21" t="s">
        <v>58</v>
      </c>
      <c r="I4" s="21" t="s">
        <v>791</v>
      </c>
      <c r="J4" s="21" t="s">
        <v>58</v>
      </c>
    </row>
    <row r="5" customFormat="false" ht="15" hidden="false" customHeight="true" outlineLevel="0" collapsed="false">
      <c r="A5" s="21" t="s">
        <v>61</v>
      </c>
      <c r="B5" s="21" t="s">
        <v>789</v>
      </c>
      <c r="C5" s="21" t="n">
        <v>10.6</v>
      </c>
      <c r="D5" s="21" t="s">
        <v>49</v>
      </c>
      <c r="E5" s="21" t="s">
        <v>790</v>
      </c>
      <c r="F5" s="21" t="n">
        <v>-11.7</v>
      </c>
      <c r="G5" s="21" t="s">
        <v>58</v>
      </c>
      <c r="H5" s="21" t="s">
        <v>58</v>
      </c>
      <c r="I5" s="21" t="s">
        <v>185</v>
      </c>
      <c r="J5" s="21" t="s">
        <v>58</v>
      </c>
    </row>
    <row r="6" customFormat="false" ht="15" hidden="false" customHeight="true" outlineLevel="0" collapsed="false">
      <c r="A6" s="21" t="s">
        <v>64</v>
      </c>
      <c r="B6" s="21" t="s">
        <v>789</v>
      </c>
      <c r="C6" s="21" t="n">
        <v>44.6</v>
      </c>
      <c r="D6" s="21" t="s">
        <v>49</v>
      </c>
      <c r="E6" s="21" t="s">
        <v>790</v>
      </c>
      <c r="F6" s="21" t="n">
        <v>-13.8</v>
      </c>
      <c r="G6" s="21" t="s">
        <v>58</v>
      </c>
      <c r="H6" s="21" t="s">
        <v>58</v>
      </c>
      <c r="I6" s="21" t="s">
        <v>185</v>
      </c>
      <c r="J6" s="21" t="s">
        <v>58</v>
      </c>
    </row>
    <row r="7" customFormat="false" ht="15" hidden="false" customHeight="true" outlineLevel="0" collapsed="false">
      <c r="A7" s="21" t="s">
        <v>86</v>
      </c>
      <c r="B7" s="21" t="s">
        <v>789</v>
      </c>
      <c r="C7" s="21" t="n">
        <v>-4.9</v>
      </c>
      <c r="D7" s="21" t="s">
        <v>51</v>
      </c>
      <c r="E7" s="21" t="s">
        <v>790</v>
      </c>
      <c r="F7" s="21" t="n">
        <v>-14.1</v>
      </c>
      <c r="G7" s="21" t="s">
        <v>58</v>
      </c>
      <c r="H7" s="21" t="s">
        <v>58</v>
      </c>
      <c r="I7" s="21" t="s">
        <v>185</v>
      </c>
      <c r="J7" s="21" t="s">
        <v>58</v>
      </c>
    </row>
    <row r="8" customFormat="false" ht="15" hidden="false" customHeight="true" outlineLevel="0" collapsed="false">
      <c r="A8" s="21" t="s">
        <v>83</v>
      </c>
      <c r="B8" s="21" t="s">
        <v>792</v>
      </c>
      <c r="C8" s="21" t="n">
        <v>-8.1</v>
      </c>
      <c r="D8" s="21" t="s">
        <v>51</v>
      </c>
      <c r="E8" s="21" t="s">
        <v>790</v>
      </c>
      <c r="F8" s="21" t="n">
        <v>869.9</v>
      </c>
      <c r="G8" s="21" t="s">
        <v>49</v>
      </c>
      <c r="H8" s="21" t="s">
        <v>51</v>
      </c>
      <c r="I8" s="21" t="s">
        <v>185</v>
      </c>
      <c r="J8" s="21" t="s">
        <v>49</v>
      </c>
    </row>
    <row r="9" customFormat="false" ht="15" hidden="false" customHeight="true" outlineLevel="0" collapsed="false">
      <c r="A9" s="21" t="s">
        <v>67</v>
      </c>
      <c r="B9" s="21" t="s">
        <v>789</v>
      </c>
      <c r="C9" s="21" t="n">
        <v>-8.3</v>
      </c>
      <c r="D9" s="21" t="s">
        <v>51</v>
      </c>
      <c r="E9" s="21" t="s">
        <v>790</v>
      </c>
      <c r="F9" s="21" t="n">
        <v>-18.9</v>
      </c>
      <c r="G9" s="21" t="s">
        <v>58</v>
      </c>
      <c r="H9" s="21" t="s">
        <v>58</v>
      </c>
      <c r="I9" s="21" t="s">
        <v>185</v>
      </c>
      <c r="J9" s="21" t="s">
        <v>58</v>
      </c>
    </row>
    <row r="10" customFormat="false" ht="15" hidden="false" customHeight="true" outlineLevel="0" collapsed="false">
      <c r="A10" s="21" t="s">
        <v>117</v>
      </c>
      <c r="B10" s="21" t="s">
        <v>789</v>
      </c>
      <c r="C10" s="21" t="n">
        <v>23.4</v>
      </c>
      <c r="D10" s="21" t="s">
        <v>49</v>
      </c>
      <c r="E10" s="21" t="s">
        <v>790</v>
      </c>
      <c r="F10" s="21" t="n">
        <v>-37.3</v>
      </c>
      <c r="G10" s="21" t="s">
        <v>72</v>
      </c>
      <c r="H10" s="21" t="s">
        <v>72</v>
      </c>
      <c r="J10" s="21" t="s">
        <v>72</v>
      </c>
    </row>
    <row r="11" customFormat="false" ht="15" hidden="false" customHeight="true" outlineLevel="0" collapsed="false">
      <c r="A11" s="21" t="s">
        <v>147</v>
      </c>
      <c r="B11" s="21" t="s">
        <v>789</v>
      </c>
      <c r="C11" s="21" t="n">
        <v>-23</v>
      </c>
      <c r="D11" s="21" t="s">
        <v>58</v>
      </c>
      <c r="E11" s="21" t="s">
        <v>790</v>
      </c>
      <c r="F11" s="21" t="n">
        <v>-46</v>
      </c>
      <c r="G11" s="21" t="s">
        <v>72</v>
      </c>
      <c r="H11" s="21" t="s">
        <v>72</v>
      </c>
      <c r="J11" s="21" t="s">
        <v>72</v>
      </c>
    </row>
    <row r="12" customFormat="false" ht="15" hidden="false" customHeight="true" outlineLevel="0" collapsed="false">
      <c r="A12" s="21" t="s">
        <v>123</v>
      </c>
      <c r="B12" s="21" t="s">
        <v>789</v>
      </c>
      <c r="C12" s="21" t="n">
        <v>-2.5</v>
      </c>
      <c r="D12" s="21" t="s">
        <v>51</v>
      </c>
      <c r="E12" s="21" t="s">
        <v>790</v>
      </c>
      <c r="F12" s="21" t="n">
        <v>-20.4</v>
      </c>
      <c r="G12" s="21" t="s">
        <v>58</v>
      </c>
      <c r="H12" s="21" t="s">
        <v>58</v>
      </c>
      <c r="I12" s="21" t="s">
        <v>185</v>
      </c>
      <c r="J12" s="21" t="s">
        <v>58</v>
      </c>
    </row>
    <row r="13" customFormat="false" ht="15" hidden="false" customHeight="true" outlineLevel="0" collapsed="false">
      <c r="A13" s="21" t="s">
        <v>77</v>
      </c>
      <c r="B13" s="21" t="s">
        <v>793</v>
      </c>
      <c r="C13" s="21" t="n">
        <v>26.1</v>
      </c>
      <c r="D13" s="21" t="s">
        <v>49</v>
      </c>
      <c r="E13" s="21" t="s">
        <v>790</v>
      </c>
      <c r="F13" s="21" t="n">
        <v>-29.9</v>
      </c>
      <c r="G13" s="21" t="s">
        <v>58</v>
      </c>
      <c r="H13" s="21" t="s">
        <v>58</v>
      </c>
      <c r="I13" s="21" t="s">
        <v>185</v>
      </c>
      <c r="J13" s="21" t="s">
        <v>58</v>
      </c>
    </row>
    <row r="14" customFormat="false" ht="15" hidden="false" customHeight="true" outlineLevel="0" collapsed="false">
      <c r="A14" s="21" t="s">
        <v>74</v>
      </c>
      <c r="B14" s="21" t="s">
        <v>793</v>
      </c>
      <c r="C14" s="21" t="n">
        <v>282.8</v>
      </c>
      <c r="D14" s="21" t="s">
        <v>49</v>
      </c>
      <c r="E14" s="21" t="s">
        <v>790</v>
      </c>
      <c r="F14" s="21" t="n">
        <v>-53.9</v>
      </c>
      <c r="G14" s="21" t="s">
        <v>72</v>
      </c>
      <c r="H14" s="21" t="s">
        <v>72</v>
      </c>
      <c r="J14" s="21" t="s">
        <v>72</v>
      </c>
    </row>
    <row r="15" customFormat="false" ht="15" hidden="false" customHeight="true" outlineLevel="0" collapsed="false">
      <c r="A15" s="21" t="s">
        <v>70</v>
      </c>
      <c r="B15" s="21" t="s">
        <v>793</v>
      </c>
      <c r="C15" s="21" t="n">
        <v>-8</v>
      </c>
      <c r="D15" s="21" t="s">
        <v>51</v>
      </c>
      <c r="E15" s="21" t="s">
        <v>790</v>
      </c>
      <c r="F15" s="21" t="n">
        <v>-2.8</v>
      </c>
      <c r="G15" s="21" t="s">
        <v>51</v>
      </c>
      <c r="H15" s="21" t="s">
        <v>51</v>
      </c>
      <c r="I15" s="21" t="s">
        <v>185</v>
      </c>
      <c r="J15" s="21" t="s">
        <v>51</v>
      </c>
    </row>
    <row r="16" customFormat="false" ht="15" hidden="false" customHeight="true" outlineLevel="0" collapsed="false">
      <c r="A16" s="21" t="s">
        <v>135</v>
      </c>
      <c r="B16" s="21" t="s">
        <v>793</v>
      </c>
      <c r="C16" s="21" t="n">
        <v>669.1</v>
      </c>
      <c r="D16" s="21" t="s">
        <v>49</v>
      </c>
      <c r="E16" s="21" t="s">
        <v>790</v>
      </c>
      <c r="F16" s="21" t="n">
        <v>-52.2</v>
      </c>
      <c r="G16" s="21" t="s">
        <v>72</v>
      </c>
      <c r="H16" s="21" t="s">
        <v>72</v>
      </c>
      <c r="J16" s="21" t="s">
        <v>72</v>
      </c>
    </row>
    <row r="17" customFormat="false" ht="15" hidden="false" customHeight="true" outlineLevel="0" collapsed="false">
      <c r="A17" s="21" t="s">
        <v>104</v>
      </c>
      <c r="B17" s="21" t="s">
        <v>793</v>
      </c>
      <c r="C17" s="21" t="n">
        <v>829.4</v>
      </c>
      <c r="D17" s="21" t="s">
        <v>49</v>
      </c>
      <c r="E17" s="21" t="s">
        <v>790</v>
      </c>
      <c r="F17" s="21" t="n">
        <v>7.5</v>
      </c>
      <c r="G17" s="21" t="s">
        <v>52</v>
      </c>
      <c r="H17" s="21" t="s">
        <v>52</v>
      </c>
      <c r="I17" s="21" t="s">
        <v>185</v>
      </c>
      <c r="J17" s="21" t="s">
        <v>52</v>
      </c>
    </row>
    <row r="18" customFormat="false" ht="15" hidden="false" customHeight="true" outlineLevel="0" collapsed="false">
      <c r="A18" s="21" t="s">
        <v>46</v>
      </c>
      <c r="B18" s="21" t="s">
        <v>793</v>
      </c>
      <c r="C18" s="21" t="n">
        <v>20.9</v>
      </c>
      <c r="D18" s="21" t="s">
        <v>49</v>
      </c>
      <c r="E18" s="21" t="s">
        <v>794</v>
      </c>
      <c r="F18" s="21" t="n">
        <v>-6.9</v>
      </c>
      <c r="G18" s="21" t="s">
        <v>51</v>
      </c>
      <c r="H18" s="21" t="s">
        <v>51</v>
      </c>
      <c r="I18" s="21" t="s">
        <v>185</v>
      </c>
      <c r="J18" s="21" t="s">
        <v>49</v>
      </c>
    </row>
    <row r="19" customFormat="false" ht="15" hidden="false" customHeight="true" outlineLevel="0" collapsed="false">
      <c r="A19" s="21" t="s">
        <v>114</v>
      </c>
      <c r="B19" s="21" t="s">
        <v>793</v>
      </c>
      <c r="C19" s="21" t="n">
        <v>37.8</v>
      </c>
      <c r="D19" s="21" t="s">
        <v>49</v>
      </c>
      <c r="E19" s="21" t="s">
        <v>794</v>
      </c>
      <c r="F19" s="21" t="n">
        <v>-1.6</v>
      </c>
      <c r="G19" s="21" t="s">
        <v>51</v>
      </c>
      <c r="H19" s="21" t="s">
        <v>51</v>
      </c>
      <c r="I19" s="21" t="s">
        <v>185</v>
      </c>
      <c r="J19" s="21" t="s">
        <v>49</v>
      </c>
    </row>
    <row r="20" customFormat="false" ht="15" hidden="false" customHeight="true" outlineLevel="0" collapsed="false">
      <c r="A20" s="21" t="s">
        <v>94</v>
      </c>
      <c r="B20" s="21" t="s">
        <v>793</v>
      </c>
      <c r="C20" s="21" t="n">
        <v>38.3</v>
      </c>
      <c r="D20" s="21" t="s">
        <v>49</v>
      </c>
      <c r="E20" s="21" t="s">
        <v>794</v>
      </c>
      <c r="F20" s="21" t="n">
        <v>-16.9</v>
      </c>
      <c r="G20" s="21" t="s">
        <v>58</v>
      </c>
      <c r="H20" s="21" t="s">
        <v>58</v>
      </c>
      <c r="J20" s="21" t="s">
        <v>49</v>
      </c>
    </row>
    <row r="21" customFormat="false" ht="15" hidden="false" customHeight="true" outlineLevel="0" collapsed="false">
      <c r="A21" s="21" t="s">
        <v>97</v>
      </c>
      <c r="B21" s="21" t="s">
        <v>793</v>
      </c>
      <c r="C21" s="21" t="n">
        <v>524.4</v>
      </c>
      <c r="D21" s="21" t="s">
        <v>49</v>
      </c>
      <c r="E21" s="21" t="s">
        <v>794</v>
      </c>
      <c r="F21" s="21" t="n">
        <v>103.8</v>
      </c>
      <c r="G21" s="21" t="s">
        <v>49</v>
      </c>
      <c r="H21" s="21" t="s">
        <v>49</v>
      </c>
      <c r="J21" s="21" t="s">
        <v>49</v>
      </c>
    </row>
    <row r="22" customFormat="false" ht="15" hidden="false" customHeight="true" outlineLevel="0" collapsed="false">
      <c r="A22" s="21" t="s">
        <v>80</v>
      </c>
      <c r="B22" s="21" t="s">
        <v>793</v>
      </c>
      <c r="C22" s="21" t="n">
        <v>20.2</v>
      </c>
      <c r="D22" s="21" t="s">
        <v>49</v>
      </c>
      <c r="E22" s="21" t="s">
        <v>794</v>
      </c>
      <c r="F22" s="21" t="n">
        <v>-3.7</v>
      </c>
      <c r="G22" s="21" t="s">
        <v>51</v>
      </c>
      <c r="H22" s="21" t="s">
        <v>51</v>
      </c>
      <c r="I22" s="21" t="s">
        <v>185</v>
      </c>
      <c r="J22" s="21" t="s">
        <v>51</v>
      </c>
    </row>
    <row r="23" customFormat="false" ht="15" hidden="false" customHeight="true" outlineLevel="0" collapsed="false">
      <c r="A23" s="21" t="s">
        <v>88</v>
      </c>
      <c r="B23" s="21" t="s">
        <v>793</v>
      </c>
      <c r="C23" s="21" t="n">
        <v>204.6</v>
      </c>
      <c r="D23" s="21" t="s">
        <v>49</v>
      </c>
      <c r="E23" s="21" t="s">
        <v>794</v>
      </c>
      <c r="F23" s="21" t="n">
        <v>195.9</v>
      </c>
      <c r="G23" s="21" t="s">
        <v>49</v>
      </c>
      <c r="H23" s="21" t="s">
        <v>49</v>
      </c>
      <c r="J23" s="21" t="s">
        <v>49</v>
      </c>
    </row>
    <row r="24" customFormat="false" ht="15" hidden="false" customHeight="true" outlineLevel="0" collapsed="false">
      <c r="A24" s="21" t="s">
        <v>162</v>
      </c>
      <c r="B24" s="21" t="s">
        <v>789</v>
      </c>
      <c r="C24" s="21" t="n">
        <v>9.1</v>
      </c>
      <c r="D24" s="21" t="s">
        <v>52</v>
      </c>
      <c r="E24" s="21" t="s">
        <v>790</v>
      </c>
      <c r="F24" s="21" t="n">
        <v>9.1</v>
      </c>
      <c r="G24" s="21" t="s">
        <v>52</v>
      </c>
      <c r="H24" s="21" t="s">
        <v>52</v>
      </c>
      <c r="I24" s="21" t="s">
        <v>791</v>
      </c>
    </row>
    <row r="25" customFormat="false" ht="15" hidden="false" customHeight="true" outlineLevel="0" collapsed="false">
      <c r="A25" s="21" t="s">
        <v>166</v>
      </c>
      <c r="B25" s="21" t="s">
        <v>793</v>
      </c>
      <c r="C25" s="21" t="n">
        <v>13.3</v>
      </c>
      <c r="D25" s="21" t="s">
        <v>49</v>
      </c>
      <c r="E25" s="21" t="s">
        <v>790</v>
      </c>
      <c r="F25" s="21" t="n">
        <v>-63.9</v>
      </c>
      <c r="G25" s="21" t="s">
        <v>72</v>
      </c>
      <c r="H25" s="21" t="s">
        <v>72</v>
      </c>
      <c r="I25" s="21" t="s">
        <v>791</v>
      </c>
    </row>
    <row r="27" customFormat="false" ht="15" hidden="false" customHeight="true" outlineLevel="0" collapsed="false">
      <c r="A27" s="21" t="s">
        <v>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0"/>
    <col collapsed="false" customWidth="true" hidden="false" outlineLevel="0" max="3" min="3" style="1" width="120"/>
  </cols>
  <sheetData>
    <row r="1" customFormat="false" ht="15" hidden="false" customHeight="true" outlineLevel="0" collapsed="false">
      <c r="A1" s="4" t="s">
        <v>796</v>
      </c>
    </row>
    <row r="3" customFormat="false" ht="15" hidden="false" customHeight="true" outlineLevel="0" collapsed="false">
      <c r="A3" s="7" t="s">
        <v>797</v>
      </c>
      <c r="B3" s="7" t="s">
        <v>798</v>
      </c>
      <c r="C3" s="7" t="s">
        <v>799</v>
      </c>
    </row>
    <row r="4" customFormat="false" ht="23.25" hidden="false" customHeight="true" outlineLevel="0" collapsed="false">
      <c r="A4" s="19" t="s">
        <v>800</v>
      </c>
      <c r="B4" s="19" t="s">
        <v>801</v>
      </c>
      <c r="C4" s="19" t="s">
        <v>802</v>
      </c>
    </row>
    <row r="5" customFormat="false" ht="23.25" hidden="false" customHeight="true" outlineLevel="0" collapsed="false">
      <c r="A5" s="19" t="s">
        <v>803</v>
      </c>
      <c r="B5" s="19" t="s">
        <v>804</v>
      </c>
      <c r="C5" s="19" t="s">
        <v>805</v>
      </c>
    </row>
    <row r="6" customFormat="false" ht="23.25" hidden="false" customHeight="true" outlineLevel="0" collapsed="false">
      <c r="A6" s="19" t="s">
        <v>806</v>
      </c>
      <c r="B6" s="19" t="s">
        <v>804</v>
      </c>
      <c r="C6" s="19" t="s">
        <v>807</v>
      </c>
    </row>
    <row r="7" customFormat="false" ht="15" hidden="false" customHeight="true" outlineLevel="0" collapsed="false">
      <c r="A7" s="19" t="s">
        <v>808</v>
      </c>
      <c r="B7" s="19" t="s">
        <v>809</v>
      </c>
      <c r="C7" s="19"/>
    </row>
    <row r="8" customFormat="false" ht="90.75" hidden="false" customHeight="true" outlineLevel="0" collapsed="false">
      <c r="A8" s="19" t="s">
        <v>46</v>
      </c>
      <c r="B8" s="19" t="s">
        <v>810</v>
      </c>
      <c r="C8" s="19"/>
    </row>
    <row r="9" customFormat="false" ht="23.25" hidden="false" customHeight="true" outlineLevel="0" collapsed="false">
      <c r="A9" s="19" t="s">
        <v>811</v>
      </c>
      <c r="B9" s="19" t="s">
        <v>812</v>
      </c>
      <c r="C9" s="19"/>
    </row>
    <row r="10" customFormat="false" ht="34.5" hidden="false" customHeight="true" outlineLevel="0" collapsed="false">
      <c r="A10" s="19" t="s">
        <v>813</v>
      </c>
      <c r="B10" s="19" t="s">
        <v>814</v>
      </c>
      <c r="C10" s="19"/>
    </row>
    <row r="11" customFormat="false" ht="34.5" hidden="false" customHeight="true" outlineLevel="0" collapsed="false">
      <c r="A11" s="19" t="s">
        <v>815</v>
      </c>
      <c r="B11" s="19" t="s">
        <v>816</v>
      </c>
      <c r="C11" s="19"/>
    </row>
    <row r="12" customFormat="false" ht="34.5" hidden="false" customHeight="true" outlineLevel="0" collapsed="false">
      <c r="A12" s="19" t="s">
        <v>817</v>
      </c>
      <c r="B12" s="19" t="s">
        <v>818</v>
      </c>
      <c r="C12" s="19"/>
    </row>
    <row r="13" customFormat="false" ht="34.5" hidden="false" customHeight="true" outlineLevel="0" collapsed="false">
      <c r="A13" s="19" t="s">
        <v>91</v>
      </c>
      <c r="B13" s="19" t="s">
        <v>819</v>
      </c>
      <c r="C13" s="19"/>
    </row>
    <row r="14" customFormat="false" ht="23.25" hidden="false" customHeight="true" outlineLevel="0" collapsed="false">
      <c r="A14" s="19" t="s">
        <v>144</v>
      </c>
      <c r="B14" s="19" t="s">
        <v>820</v>
      </c>
      <c r="C14" s="19"/>
    </row>
    <row r="15" customFormat="false" ht="23.25" hidden="false" customHeight="true" outlineLevel="0" collapsed="false">
      <c r="A15" s="19" t="s">
        <v>821</v>
      </c>
      <c r="B15" s="19" t="s">
        <v>822</v>
      </c>
      <c r="C15" s="19"/>
    </row>
    <row r="16" customFormat="false" ht="34.5" hidden="false" customHeight="true" outlineLevel="0" collapsed="false">
      <c r="A16" s="19" t="s">
        <v>823</v>
      </c>
      <c r="B16" s="19" t="s">
        <v>510</v>
      </c>
      <c r="C16" s="19"/>
    </row>
    <row r="17" customFormat="false" ht="90.75" hidden="false" customHeight="true" outlineLevel="0" collapsed="false">
      <c r="A17" s="19" t="s">
        <v>824</v>
      </c>
      <c r="B17" s="19" t="s">
        <v>825</v>
      </c>
      <c r="C17" s="19"/>
    </row>
    <row r="18" customFormat="false" ht="23.25" hidden="false" customHeight="true" outlineLevel="0" collapsed="false">
      <c r="A18" s="22" t="s">
        <v>826</v>
      </c>
      <c r="B18" s="19"/>
      <c r="C18" s="19" t="s">
        <v>827</v>
      </c>
    </row>
    <row r="19" customFormat="false" ht="23.25" hidden="false" customHeight="true" outlineLevel="0" collapsed="false">
      <c r="A19" s="19" t="s">
        <v>46</v>
      </c>
      <c r="B19" s="19" t="s">
        <v>828</v>
      </c>
      <c r="C19" s="19" t="s">
        <v>829</v>
      </c>
    </row>
    <row r="20" customFormat="false" ht="23.25" hidden="false" customHeight="true" outlineLevel="0" collapsed="false">
      <c r="A20" s="19" t="s">
        <v>55</v>
      </c>
      <c r="B20" s="19" t="s">
        <v>828</v>
      </c>
      <c r="C20" s="19" t="s">
        <v>830</v>
      </c>
    </row>
    <row r="21" customFormat="false" ht="23.25" hidden="false" customHeight="true" outlineLevel="0" collapsed="false">
      <c r="A21" s="19" t="s">
        <v>61</v>
      </c>
      <c r="B21" s="19" t="s">
        <v>828</v>
      </c>
      <c r="C21" s="19" t="s">
        <v>831</v>
      </c>
    </row>
    <row r="22" customFormat="false" ht="23.25" hidden="false" customHeight="true" outlineLevel="0" collapsed="false">
      <c r="A22" s="19" t="s">
        <v>64</v>
      </c>
      <c r="B22" s="19" t="s">
        <v>832</v>
      </c>
      <c r="C22" s="19" t="s">
        <v>833</v>
      </c>
    </row>
    <row r="23" customFormat="false" ht="23.25" hidden="false" customHeight="true" outlineLevel="0" collapsed="false">
      <c r="A23" s="19" t="s">
        <v>70</v>
      </c>
      <c r="B23" s="19" t="s">
        <v>828</v>
      </c>
      <c r="C23" s="19" t="s">
        <v>834</v>
      </c>
    </row>
    <row r="24" customFormat="false" ht="15" hidden="false" customHeight="true" outlineLevel="0" collapsed="false">
      <c r="A24" s="19" t="s">
        <v>107</v>
      </c>
      <c r="B24" s="19" t="s">
        <v>828</v>
      </c>
      <c r="C24" s="19" t="s">
        <v>835</v>
      </c>
    </row>
    <row r="25" customFormat="false" ht="23.25" hidden="false" customHeight="true" outlineLevel="0" collapsed="false">
      <c r="A25" s="19" t="s">
        <v>80</v>
      </c>
      <c r="B25" s="19" t="s">
        <v>828</v>
      </c>
      <c r="C25" s="19" t="s">
        <v>836</v>
      </c>
    </row>
    <row r="26" customFormat="false" ht="15" hidden="false" customHeight="true" outlineLevel="0" collapsed="false">
      <c r="A26" s="19" t="s">
        <v>74</v>
      </c>
      <c r="B26" s="19" t="s">
        <v>828</v>
      </c>
      <c r="C26" s="19" t="s">
        <v>837</v>
      </c>
    </row>
    <row r="27" customFormat="false" ht="15" hidden="false" customHeight="true" outlineLevel="0" collapsed="false">
      <c r="A27" s="19" t="s">
        <v>147</v>
      </c>
      <c r="B27" s="19" t="s">
        <v>832</v>
      </c>
      <c r="C27" s="19" t="s">
        <v>838</v>
      </c>
    </row>
    <row r="28" customFormat="false" ht="23.25" hidden="false" customHeight="true" outlineLevel="0" collapsed="false">
      <c r="A28" s="19" t="s">
        <v>141</v>
      </c>
      <c r="B28" s="19" t="s">
        <v>832</v>
      </c>
      <c r="C28" s="19" t="s">
        <v>839</v>
      </c>
    </row>
    <row r="29" customFormat="false" ht="15" hidden="false" customHeight="true" outlineLevel="0" collapsed="false">
      <c r="A29" s="19" t="s">
        <v>144</v>
      </c>
      <c r="B29" s="19" t="s">
        <v>840</v>
      </c>
      <c r="C29" s="19" t="s">
        <v>841</v>
      </c>
    </row>
    <row r="30" customFormat="false" ht="15" hidden="false" customHeight="true" outlineLevel="0" collapsed="false">
      <c r="A30" s="19" t="s">
        <v>842</v>
      </c>
      <c r="B30" s="19" t="s">
        <v>843</v>
      </c>
      <c r="C30" s="19" t="s">
        <v>844</v>
      </c>
    </row>
    <row r="31" customFormat="false" ht="15" hidden="false" customHeight="true" outlineLevel="0" collapsed="false">
      <c r="A31" s="19" t="s">
        <v>86</v>
      </c>
      <c r="B31" s="19" t="s">
        <v>843</v>
      </c>
      <c r="C31" s="19" t="s">
        <v>845</v>
      </c>
    </row>
    <row r="32" customFormat="false" ht="15" hidden="false" customHeight="true" outlineLevel="0" collapsed="false">
      <c r="A32" s="19" t="s">
        <v>120</v>
      </c>
      <c r="B32" s="19" t="s">
        <v>843</v>
      </c>
      <c r="C32" s="19" t="s">
        <v>846</v>
      </c>
    </row>
    <row r="33" customFormat="false" ht="15" hidden="false" customHeight="true" outlineLevel="0" collapsed="false">
      <c r="A33" s="19" t="s">
        <v>77</v>
      </c>
      <c r="B33" s="19" t="s">
        <v>843</v>
      </c>
      <c r="C33" s="19" t="s">
        <v>847</v>
      </c>
    </row>
    <row r="34" customFormat="false" ht="15" hidden="false" customHeight="true" outlineLevel="0" collapsed="false">
      <c r="A34" s="19" t="s">
        <v>88</v>
      </c>
      <c r="B34" s="19" t="s">
        <v>843</v>
      </c>
      <c r="C34" s="19" t="s">
        <v>848</v>
      </c>
    </row>
    <row r="35" customFormat="false" ht="34.5" hidden="false" customHeight="true" outlineLevel="0" collapsed="false">
      <c r="A35" s="19" t="s">
        <v>849</v>
      </c>
      <c r="B35" s="19" t="s">
        <v>843</v>
      </c>
      <c r="C35" s="19" t="s">
        <v>850</v>
      </c>
    </row>
    <row r="36" customFormat="false" ht="15" hidden="false" customHeight="true" outlineLevel="0" collapsed="false">
      <c r="A36" s="19" t="s">
        <v>851</v>
      </c>
      <c r="B36" s="19" t="s">
        <v>840</v>
      </c>
      <c r="C36" s="19" t="s">
        <v>852</v>
      </c>
    </row>
    <row r="37" customFormat="false" ht="23.25" hidden="false" customHeight="true" outlineLevel="0" collapsed="false">
      <c r="A37" s="19" t="s">
        <v>853</v>
      </c>
      <c r="B37" s="19" t="s">
        <v>843</v>
      </c>
      <c r="C37" s="19" t="s">
        <v>854</v>
      </c>
    </row>
    <row r="38" customFormat="false" ht="34.5" hidden="false" customHeight="true" outlineLevel="0" collapsed="false">
      <c r="A38" s="19" t="s">
        <v>855</v>
      </c>
      <c r="B38" s="19" t="s">
        <v>832</v>
      </c>
      <c r="C38" s="19" t="s">
        <v>856</v>
      </c>
    </row>
    <row r="39" customFormat="false" ht="23.25" hidden="false" customHeight="true" outlineLevel="0" collapsed="false">
      <c r="A39" s="22" t="s">
        <v>857</v>
      </c>
      <c r="B39" s="19"/>
      <c r="C39" s="19"/>
    </row>
    <row r="40" customFormat="false" ht="23.25" hidden="false" customHeight="true" outlineLevel="0" collapsed="false">
      <c r="A40" s="19" t="s">
        <v>77</v>
      </c>
      <c r="B40" s="19" t="s">
        <v>828</v>
      </c>
      <c r="C40" s="19" t="s">
        <v>858</v>
      </c>
    </row>
    <row r="41" customFormat="false" ht="23.25" hidden="false" customHeight="true" outlineLevel="0" collapsed="false">
      <c r="A41" s="19" t="s">
        <v>129</v>
      </c>
      <c r="B41" s="19" t="s">
        <v>832</v>
      </c>
      <c r="C41" s="19" t="s">
        <v>859</v>
      </c>
    </row>
    <row r="42" customFormat="false" ht="23.25" hidden="false" customHeight="true" outlineLevel="0" collapsed="false">
      <c r="A42" s="19" t="s">
        <v>117</v>
      </c>
      <c r="B42" s="19" t="s">
        <v>832</v>
      </c>
      <c r="C42" s="19" t="s">
        <v>860</v>
      </c>
    </row>
    <row r="43" customFormat="false" ht="15" hidden="false" customHeight="true" outlineLevel="0" collapsed="false">
      <c r="A43" s="19" t="s">
        <v>67</v>
      </c>
      <c r="B43" s="19" t="s">
        <v>843</v>
      </c>
      <c r="C43" s="19" t="s">
        <v>861</v>
      </c>
    </row>
    <row r="44" customFormat="false" ht="23.25" hidden="false" customHeight="true" outlineLevel="0" collapsed="false">
      <c r="A44" s="19" t="s">
        <v>862</v>
      </c>
      <c r="B44" s="19" t="s">
        <v>863</v>
      </c>
      <c r="C44" s="19" t="s">
        <v>864</v>
      </c>
    </row>
    <row r="45" customFormat="false" ht="23.25" hidden="false" customHeight="true" outlineLevel="0" collapsed="false">
      <c r="A45" s="22" t="s">
        <v>865</v>
      </c>
      <c r="B45" s="19"/>
      <c r="C45" s="19" t="s">
        <v>866</v>
      </c>
    </row>
    <row r="46" customFormat="false" ht="15" hidden="false" customHeight="true" outlineLevel="0" collapsed="false">
      <c r="A46" s="19" t="s">
        <v>867</v>
      </c>
      <c r="B46" s="19" t="s">
        <v>804</v>
      </c>
      <c r="C46" s="19" t="s">
        <v>868</v>
      </c>
    </row>
    <row r="47" customFormat="false" ht="34.5" hidden="false" customHeight="true" outlineLevel="0" collapsed="false">
      <c r="A47" s="19" t="s">
        <v>869</v>
      </c>
      <c r="B47" s="19" t="s">
        <v>804</v>
      </c>
      <c r="C47" s="19" t="s">
        <v>870</v>
      </c>
    </row>
    <row r="48" customFormat="false" ht="45.75" hidden="false" customHeight="true" outlineLevel="0" collapsed="false">
      <c r="A48" s="19" t="s">
        <v>871</v>
      </c>
      <c r="B48" s="19"/>
      <c r="C48" s="19" t="s">
        <v>872</v>
      </c>
    </row>
    <row r="49" customFormat="false" ht="45.75" hidden="false" customHeight="true" outlineLevel="0" collapsed="false">
      <c r="A49" s="19" t="s">
        <v>873</v>
      </c>
      <c r="B49" s="19" t="s">
        <v>874</v>
      </c>
      <c r="C49" s="19" t="s">
        <v>875</v>
      </c>
    </row>
    <row r="50" customFormat="false" ht="23.25" hidden="false" customHeight="true" outlineLevel="0" collapsed="false">
      <c r="A50" s="19" t="s">
        <v>876</v>
      </c>
      <c r="B50" s="19" t="s">
        <v>877</v>
      </c>
      <c r="C50" s="19" t="s">
        <v>878</v>
      </c>
    </row>
    <row r="51" customFormat="false" ht="45.75" hidden="false" customHeight="true" outlineLevel="0" collapsed="false">
      <c r="A51" s="19" t="s">
        <v>879</v>
      </c>
      <c r="B51" s="19" t="s">
        <v>880</v>
      </c>
      <c r="C51" s="19" t="s">
        <v>881</v>
      </c>
    </row>
    <row r="52" customFormat="false" ht="23.25" hidden="false" customHeight="true" outlineLevel="0" collapsed="false">
      <c r="A52" s="19" t="s">
        <v>882</v>
      </c>
      <c r="B52" s="19" t="s">
        <v>883</v>
      </c>
      <c r="C52" s="19" t="s">
        <v>884</v>
      </c>
    </row>
    <row r="53" customFormat="false" ht="45.75" hidden="false" customHeight="true" outlineLevel="0" collapsed="false">
      <c r="A53" s="19" t="s">
        <v>885</v>
      </c>
      <c r="B53" s="19" t="s">
        <v>886</v>
      </c>
      <c r="C53" s="19" t="s">
        <v>887</v>
      </c>
    </row>
    <row r="54" customFormat="false" ht="57" hidden="false" customHeight="true" outlineLevel="0" collapsed="false">
      <c r="A54" s="19" t="s">
        <v>888</v>
      </c>
      <c r="B54" s="19" t="s">
        <v>889</v>
      </c>
      <c r="C54" s="19" t="s">
        <v>890</v>
      </c>
    </row>
    <row r="55" customFormat="false" ht="57" hidden="false" customHeight="true" outlineLevel="0" collapsed="false">
      <c r="A55" s="19" t="s">
        <v>891</v>
      </c>
      <c r="B55" s="19" t="s">
        <v>892</v>
      </c>
      <c r="C55" s="19" t="s">
        <v>893</v>
      </c>
    </row>
    <row r="56" customFormat="false" ht="23.25" hidden="false" customHeight="true" outlineLevel="0" collapsed="false">
      <c r="A56" s="19" t="s">
        <v>894</v>
      </c>
      <c r="B56" s="19" t="s">
        <v>53</v>
      </c>
      <c r="C56" s="19" t="s">
        <v>895</v>
      </c>
    </row>
    <row r="57" customFormat="false" ht="15" hidden="false" customHeight="true" outlineLevel="0" collapsed="false">
      <c r="A57" s="19" t="s">
        <v>896</v>
      </c>
      <c r="B57" s="19" t="s">
        <v>53</v>
      </c>
      <c r="C57" s="19" t="s">
        <v>897</v>
      </c>
    </row>
    <row r="58" customFormat="false" ht="15" hidden="false" customHeight="true" outlineLevel="0" collapsed="false">
      <c r="A58" s="19" t="s">
        <v>898</v>
      </c>
      <c r="B58" s="19" t="s">
        <v>53</v>
      </c>
      <c r="C58" s="19" t="s">
        <v>899</v>
      </c>
    </row>
    <row r="59" customFormat="false" ht="15" hidden="false" customHeight="true" outlineLevel="0" collapsed="false">
      <c r="A59" s="19" t="s">
        <v>900</v>
      </c>
      <c r="B59" s="19" t="s">
        <v>164</v>
      </c>
      <c r="C59" s="19" t="s">
        <v>901</v>
      </c>
    </row>
    <row r="60" customFormat="false" ht="15" hidden="false" customHeight="true" outlineLevel="0" collapsed="false">
      <c r="A60" s="19" t="s">
        <v>902</v>
      </c>
      <c r="B60" s="19" t="s">
        <v>164</v>
      </c>
      <c r="C60" s="19" t="s">
        <v>903</v>
      </c>
    </row>
    <row r="61" customFormat="false" ht="23.25" hidden="false" customHeight="true" outlineLevel="0" collapsed="false">
      <c r="A61" s="19" t="s">
        <v>904</v>
      </c>
      <c r="B61" s="19" t="s">
        <v>164</v>
      </c>
      <c r="C61" s="19" t="s">
        <v>905</v>
      </c>
    </row>
    <row r="62" customFormat="false" ht="23.25" hidden="false" customHeight="true" outlineLevel="0" collapsed="false">
      <c r="A62" s="19" t="s">
        <v>906</v>
      </c>
      <c r="B62" s="19" t="s">
        <v>907</v>
      </c>
      <c r="C62" s="19" t="s">
        <v>908</v>
      </c>
    </row>
    <row r="63" customFormat="false" ht="15" hidden="false" customHeight="true" outlineLevel="0" collapsed="false">
      <c r="A63" s="22" t="s">
        <v>909</v>
      </c>
      <c r="B63" s="19"/>
      <c r="C63" s="19"/>
    </row>
    <row r="64" customFormat="false" ht="15" hidden="false" customHeight="true" outlineLevel="0" collapsed="false">
      <c r="A64" s="19" t="s">
        <v>910</v>
      </c>
      <c r="B64" s="19"/>
      <c r="C64" s="19" t="s">
        <v>911</v>
      </c>
    </row>
    <row r="65" customFormat="false" ht="23.25" hidden="false" customHeight="true" outlineLevel="0" collapsed="false">
      <c r="A65" s="19" t="s">
        <v>910</v>
      </c>
      <c r="B65" s="19"/>
      <c r="C65" s="19" t="s">
        <v>912</v>
      </c>
    </row>
    <row r="66" customFormat="false" ht="23.25" hidden="false" customHeight="true" outlineLevel="0" collapsed="false">
      <c r="A66" s="19" t="s">
        <v>910</v>
      </c>
      <c r="B66" s="19"/>
      <c r="C66" s="19" t="s">
        <v>913</v>
      </c>
    </row>
    <row r="67" customFormat="false" ht="23.25" hidden="false" customHeight="true" outlineLevel="0" collapsed="false">
      <c r="A67" s="19" t="s">
        <v>910</v>
      </c>
      <c r="B67" s="19"/>
      <c r="C67" s="19" t="s">
        <v>914</v>
      </c>
    </row>
    <row r="68" customFormat="false" ht="15" hidden="false" customHeight="true" outlineLevel="0" collapsed="false">
      <c r="A68" s="19" t="s">
        <v>910</v>
      </c>
      <c r="B68" s="19"/>
      <c r="C68" s="19" t="s">
        <v>915</v>
      </c>
    </row>
    <row r="69" customFormat="false" ht="34.5" hidden="false" customHeight="true" outlineLevel="0" collapsed="false">
      <c r="A69" s="19" t="s">
        <v>910</v>
      </c>
      <c r="B69" s="19"/>
      <c r="C69" s="19" t="s">
        <v>916</v>
      </c>
    </row>
    <row r="70" customFormat="false" ht="23.25" hidden="false" customHeight="true" outlineLevel="0" collapsed="false">
      <c r="A70" s="19" t="s">
        <v>917</v>
      </c>
      <c r="B70" s="19" t="s">
        <v>59</v>
      </c>
      <c r="C70" s="19" t="s">
        <v>918</v>
      </c>
    </row>
    <row r="71" customFormat="false" ht="15" hidden="false" customHeight="true" outlineLevel="0" collapsed="false">
      <c r="A71" s="22" t="s">
        <v>919</v>
      </c>
      <c r="B71" s="19"/>
      <c r="C71" s="19" t="s">
        <v>920</v>
      </c>
    </row>
    <row r="72" customFormat="false" ht="15" hidden="false" customHeight="true" outlineLevel="0" collapsed="false">
      <c r="A72" s="19" t="s">
        <v>46</v>
      </c>
      <c r="B72" s="19" t="s">
        <v>921</v>
      </c>
      <c r="C72" s="19" t="s">
        <v>922</v>
      </c>
    </row>
    <row r="73" customFormat="false" ht="23.25" hidden="false" customHeight="true" outlineLevel="0" collapsed="false">
      <c r="A73" s="19" t="s">
        <v>55</v>
      </c>
      <c r="B73" s="19" t="s">
        <v>923</v>
      </c>
      <c r="C73" s="19" t="s">
        <v>924</v>
      </c>
    </row>
    <row r="74" customFormat="false" ht="34.5" hidden="false" customHeight="true" outlineLevel="0" collapsed="false">
      <c r="A74" s="19" t="s">
        <v>61</v>
      </c>
      <c r="B74" s="19" t="s">
        <v>925</v>
      </c>
      <c r="C74" s="19" t="s">
        <v>926</v>
      </c>
    </row>
    <row r="75" customFormat="false" ht="15" hidden="false" customHeight="true" outlineLevel="0" collapsed="false">
      <c r="A75" s="19" t="s">
        <v>64</v>
      </c>
      <c r="B75" s="19" t="s">
        <v>927</v>
      </c>
      <c r="C75" s="19" t="s">
        <v>928</v>
      </c>
    </row>
    <row r="76" customFormat="false" ht="23.25" hidden="false" customHeight="true" outlineLevel="0" collapsed="false">
      <c r="A76" s="19" t="s">
        <v>67</v>
      </c>
      <c r="B76" s="19" t="s">
        <v>929</v>
      </c>
      <c r="C76" s="19" t="s">
        <v>930</v>
      </c>
    </row>
    <row r="77" customFormat="false" ht="15" hidden="false" customHeight="true" outlineLevel="0" collapsed="false">
      <c r="A77" s="19" t="s">
        <v>70</v>
      </c>
      <c r="B77" s="19" t="s">
        <v>931</v>
      </c>
      <c r="C77" s="19" t="s">
        <v>932</v>
      </c>
    </row>
    <row r="78" customFormat="false" ht="15" hidden="false" customHeight="true" outlineLevel="0" collapsed="false">
      <c r="A78" s="19" t="s">
        <v>74</v>
      </c>
      <c r="B78" s="19" t="s">
        <v>925</v>
      </c>
      <c r="C78" s="19" t="s">
        <v>933</v>
      </c>
    </row>
    <row r="79" customFormat="false" ht="15" hidden="false" customHeight="true" outlineLevel="0" collapsed="false">
      <c r="A79" s="19" t="s">
        <v>77</v>
      </c>
      <c r="B79" s="19" t="s">
        <v>934</v>
      </c>
      <c r="C79" s="19" t="s">
        <v>935</v>
      </c>
    </row>
    <row r="80" customFormat="false" ht="15" hidden="false" customHeight="true" outlineLevel="0" collapsed="false">
      <c r="A80" s="19" t="s">
        <v>80</v>
      </c>
      <c r="B80" s="19" t="s">
        <v>925</v>
      </c>
      <c r="C80" s="19" t="s">
        <v>936</v>
      </c>
    </row>
    <row r="81" customFormat="false" ht="34.5" hidden="false" customHeight="true" outlineLevel="0" collapsed="false">
      <c r="A81" s="19" t="s">
        <v>83</v>
      </c>
      <c r="B81" s="19" t="s">
        <v>937</v>
      </c>
      <c r="C81" s="19" t="s">
        <v>938</v>
      </c>
    </row>
    <row r="82" customFormat="false" ht="15" hidden="false" customHeight="true" outlineLevel="0" collapsed="false">
      <c r="A82" s="19" t="s">
        <v>86</v>
      </c>
      <c r="B82" s="19" t="s">
        <v>925</v>
      </c>
      <c r="C82" s="19" t="s">
        <v>939</v>
      </c>
    </row>
    <row r="83" customFormat="false" ht="15" hidden="false" customHeight="true" outlineLevel="0" collapsed="false">
      <c r="A83" s="19" t="s">
        <v>88</v>
      </c>
      <c r="B83" s="19" t="s">
        <v>937</v>
      </c>
      <c r="C83" s="19" t="s">
        <v>936</v>
      </c>
    </row>
    <row r="84" customFormat="false" ht="15" hidden="false" customHeight="true" outlineLevel="0" collapsed="false">
      <c r="A84" s="19" t="s">
        <v>91</v>
      </c>
      <c r="B84" s="19" t="s">
        <v>940</v>
      </c>
      <c r="C84" s="19" t="s">
        <v>941</v>
      </c>
    </row>
    <row r="85" customFormat="false" ht="23.25" hidden="false" customHeight="true" outlineLevel="0" collapsed="false">
      <c r="A85" s="19" t="s">
        <v>94</v>
      </c>
      <c r="B85" s="19" t="s">
        <v>937</v>
      </c>
      <c r="C85" s="19" t="s">
        <v>942</v>
      </c>
    </row>
    <row r="86" customFormat="false" ht="15" hidden="false" customHeight="true" outlineLevel="0" collapsed="false">
      <c r="A86" s="19" t="s">
        <v>97</v>
      </c>
      <c r="B86" s="19" t="s">
        <v>937</v>
      </c>
      <c r="C86" s="19" t="s">
        <v>943</v>
      </c>
    </row>
    <row r="87" customFormat="false" ht="15" hidden="false" customHeight="true" outlineLevel="0" collapsed="false">
      <c r="A87" s="19" t="s">
        <v>100</v>
      </c>
      <c r="B87" s="19" t="s">
        <v>937</v>
      </c>
      <c r="C87" s="19" t="s">
        <v>944</v>
      </c>
    </row>
    <row r="88" customFormat="false" ht="23.25" hidden="false" customHeight="true" outlineLevel="0" collapsed="false">
      <c r="A88" s="19" t="s">
        <v>104</v>
      </c>
      <c r="B88" s="19" t="s">
        <v>945</v>
      </c>
      <c r="C88" s="19" t="s">
        <v>946</v>
      </c>
    </row>
    <row r="89" customFormat="false" ht="23.25" hidden="false" customHeight="true" outlineLevel="0" collapsed="false">
      <c r="A89" s="19" t="s">
        <v>107</v>
      </c>
      <c r="B89" s="19" t="s">
        <v>925</v>
      </c>
      <c r="C89" s="19" t="s">
        <v>936</v>
      </c>
    </row>
    <row r="90" customFormat="false" ht="23.25" hidden="false" customHeight="true" outlineLevel="0" collapsed="false">
      <c r="A90" s="19" t="s">
        <v>111</v>
      </c>
      <c r="B90" s="19" t="s">
        <v>947</v>
      </c>
      <c r="C90" s="19" t="s">
        <v>948</v>
      </c>
    </row>
    <row r="91" customFormat="false" ht="15" hidden="false" customHeight="true" outlineLevel="0" collapsed="false">
      <c r="A91" s="19" t="s">
        <v>114</v>
      </c>
      <c r="B91" s="19" t="s">
        <v>949</v>
      </c>
      <c r="C91" s="19" t="s">
        <v>950</v>
      </c>
    </row>
    <row r="92" customFormat="false" ht="15" hidden="false" customHeight="true" outlineLevel="0" collapsed="false">
      <c r="A92" s="19" t="s">
        <v>117</v>
      </c>
      <c r="B92" s="19" t="s">
        <v>951</v>
      </c>
      <c r="C92" s="19" t="s">
        <v>952</v>
      </c>
    </row>
    <row r="93" customFormat="false" ht="15" hidden="false" customHeight="true" outlineLevel="0" collapsed="false">
      <c r="A93" s="19" t="s">
        <v>120</v>
      </c>
      <c r="B93" s="19" t="s">
        <v>953</v>
      </c>
      <c r="C93" s="19" t="s">
        <v>954</v>
      </c>
    </row>
    <row r="94" customFormat="false" ht="23.25" hidden="false" customHeight="true" outlineLevel="0" collapsed="false">
      <c r="A94" s="19" t="s">
        <v>123</v>
      </c>
      <c r="B94" s="19" t="s">
        <v>925</v>
      </c>
      <c r="C94" s="19" t="s">
        <v>955</v>
      </c>
    </row>
    <row r="95" customFormat="false" ht="15" hidden="false" customHeight="true" outlineLevel="0" collapsed="false">
      <c r="A95" s="19" t="s">
        <v>126</v>
      </c>
      <c r="B95" s="19" t="s">
        <v>925</v>
      </c>
      <c r="C95" s="19" t="s">
        <v>936</v>
      </c>
    </row>
    <row r="96" customFormat="false" ht="23.25" hidden="false" customHeight="true" outlineLevel="0" collapsed="false">
      <c r="A96" s="19" t="s">
        <v>129</v>
      </c>
      <c r="B96" s="19" t="s">
        <v>925</v>
      </c>
      <c r="C96" s="19" t="s">
        <v>956</v>
      </c>
    </row>
    <row r="97" customFormat="false" ht="15" hidden="false" customHeight="true" outlineLevel="0" collapsed="false">
      <c r="A97" s="19" t="s">
        <v>132</v>
      </c>
      <c r="B97" s="19" t="s">
        <v>957</v>
      </c>
      <c r="C97" s="19" t="s">
        <v>958</v>
      </c>
    </row>
    <row r="98" customFormat="false" ht="15" hidden="false" customHeight="true" outlineLevel="0" collapsed="false">
      <c r="A98" s="19" t="s">
        <v>135</v>
      </c>
      <c r="B98" s="19" t="s">
        <v>959</v>
      </c>
      <c r="C98" s="19" t="s">
        <v>960</v>
      </c>
    </row>
    <row r="99" customFormat="false" ht="23.25" hidden="false" customHeight="true" outlineLevel="0" collapsed="false">
      <c r="A99" s="19" t="s">
        <v>138</v>
      </c>
      <c r="B99" s="19" t="s">
        <v>961</v>
      </c>
      <c r="C99" s="19" t="s">
        <v>962</v>
      </c>
    </row>
    <row r="100" customFormat="false" ht="34.5" hidden="false" customHeight="true" outlineLevel="0" collapsed="false">
      <c r="A100" s="19" t="s">
        <v>141</v>
      </c>
      <c r="B100" s="19" t="s">
        <v>925</v>
      </c>
      <c r="C100" s="19" t="s">
        <v>963</v>
      </c>
    </row>
    <row r="101" customFormat="false" ht="34.5" hidden="false" customHeight="true" outlineLevel="0" collapsed="false">
      <c r="A101" s="19" t="s">
        <v>144</v>
      </c>
      <c r="B101" s="19" t="s">
        <v>925</v>
      </c>
      <c r="C101" s="19" t="s">
        <v>964</v>
      </c>
    </row>
    <row r="102" customFormat="false" ht="23.25" hidden="false" customHeight="true" outlineLevel="0" collapsed="false">
      <c r="A102" s="19" t="s">
        <v>147</v>
      </c>
      <c r="B102" s="19" t="s">
        <v>965</v>
      </c>
      <c r="C102" s="19" t="s">
        <v>966</v>
      </c>
    </row>
    <row r="103" customFormat="false" ht="34.5" hidden="false" customHeight="true" outlineLevel="0" collapsed="false">
      <c r="A103" s="19" t="s">
        <v>162</v>
      </c>
      <c r="B103" s="19" t="s">
        <v>967</v>
      </c>
      <c r="C103" s="19" t="s">
        <v>968</v>
      </c>
    </row>
    <row r="104" customFormat="false" ht="34.5" hidden="false" customHeight="true" outlineLevel="0" collapsed="false">
      <c r="A104" s="19" t="s">
        <v>166</v>
      </c>
      <c r="B104" s="19" t="s">
        <v>969</v>
      </c>
      <c r="C104" s="19" t="s">
        <v>970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5" min="4" style="1" width="9"/>
    <col collapsed="false" customWidth="true" hidden="false" outlineLevel="0" max="6" min="6" style="1" width="90"/>
    <col collapsed="false" customWidth="true" hidden="false" outlineLevel="0" max="7" min="7" style="1" width="40"/>
  </cols>
  <sheetData>
    <row r="1" customFormat="false" ht="15" hidden="false" customHeight="true" outlineLevel="0" collapsed="false">
      <c r="A1" s="4" t="s">
        <v>971</v>
      </c>
    </row>
    <row r="3" customFormat="false" ht="23.25" hidden="false" customHeight="true" outlineLevel="0" collapsed="false">
      <c r="A3" s="7" t="s">
        <v>972</v>
      </c>
      <c r="B3" s="7" t="s">
        <v>779</v>
      </c>
      <c r="C3" s="7" t="s">
        <v>189</v>
      </c>
      <c r="D3" s="7" t="s">
        <v>973</v>
      </c>
      <c r="E3" s="7" t="s">
        <v>974</v>
      </c>
      <c r="F3" s="7" t="s">
        <v>975</v>
      </c>
      <c r="G3" s="7" t="s">
        <v>976</v>
      </c>
    </row>
    <row r="4" customFormat="false" ht="57" hidden="false" customHeight="true" outlineLevel="0" collapsed="false">
      <c r="A4" s="9" t="s">
        <v>977</v>
      </c>
      <c r="B4" s="9" t="s">
        <v>978</v>
      </c>
      <c r="C4" s="9" t="s">
        <v>979</v>
      </c>
      <c r="D4" s="9"/>
      <c r="E4" s="9"/>
      <c r="F4" s="19" t="s">
        <v>980</v>
      </c>
      <c r="G4" s="9" t="s">
        <v>981</v>
      </c>
    </row>
    <row r="5" customFormat="false" ht="15" hidden="false" customHeight="true" outlineLevel="0" collapsed="false">
      <c r="A5" s="9" t="s">
        <v>59</v>
      </c>
      <c r="B5" s="9" t="s">
        <v>978</v>
      </c>
      <c r="C5" s="9" t="s">
        <v>979</v>
      </c>
      <c r="D5" s="9"/>
      <c r="E5" s="9"/>
      <c r="F5" s="19" t="s">
        <v>982</v>
      </c>
      <c r="G5" s="9" t="s">
        <v>983</v>
      </c>
    </row>
    <row r="6" customFormat="false" ht="34.5" hidden="false" customHeight="true" outlineLevel="0" collapsed="false">
      <c r="A6" s="9" t="s">
        <v>59</v>
      </c>
      <c r="B6" s="9" t="s">
        <v>169</v>
      </c>
      <c r="C6" s="9" t="s">
        <v>23</v>
      </c>
      <c r="D6" s="9"/>
      <c r="E6" s="9" t="s">
        <v>52</v>
      </c>
      <c r="F6" s="19" t="s">
        <v>984</v>
      </c>
      <c r="G6" s="9" t="s">
        <v>985</v>
      </c>
    </row>
    <row r="7" customFormat="false" ht="23.25" hidden="false" customHeight="true" outlineLevel="0" collapsed="false">
      <c r="A7" s="9" t="s">
        <v>59</v>
      </c>
      <c r="B7" s="9" t="s">
        <v>169</v>
      </c>
      <c r="C7" s="9" t="s">
        <v>24</v>
      </c>
      <c r="D7" s="9"/>
      <c r="E7" s="9" t="s">
        <v>58</v>
      </c>
      <c r="F7" s="19" t="s">
        <v>986</v>
      </c>
      <c r="G7" s="9" t="s">
        <v>987</v>
      </c>
    </row>
    <row r="8" customFormat="false" ht="23.25" hidden="false" customHeight="true" outlineLevel="0" collapsed="false">
      <c r="A8" s="9" t="s">
        <v>59</v>
      </c>
      <c r="B8" s="9" t="s">
        <v>169</v>
      </c>
      <c r="C8" s="9" t="s">
        <v>25</v>
      </c>
      <c r="D8" s="9"/>
      <c r="E8" s="9" t="s">
        <v>58</v>
      </c>
      <c r="F8" s="19" t="s">
        <v>988</v>
      </c>
      <c r="G8" s="9" t="s">
        <v>989</v>
      </c>
    </row>
    <row r="9" customFormat="false" ht="23.25" hidden="false" customHeight="true" outlineLevel="0" collapsed="false">
      <c r="A9" s="9" t="s">
        <v>59</v>
      </c>
      <c r="B9" s="9" t="s">
        <v>169</v>
      </c>
      <c r="C9" s="9" t="s">
        <v>26</v>
      </c>
      <c r="D9" s="9"/>
      <c r="E9" s="9"/>
      <c r="F9" s="19" t="s">
        <v>990</v>
      </c>
      <c r="G9" s="9" t="s">
        <v>991</v>
      </c>
    </row>
    <row r="10" customFormat="false" ht="15" hidden="false" customHeight="true" outlineLevel="0" collapsed="false">
      <c r="A10" s="9" t="s">
        <v>59</v>
      </c>
      <c r="B10" s="9" t="s">
        <v>169</v>
      </c>
      <c r="C10" s="9" t="s">
        <v>27</v>
      </c>
      <c r="D10" s="9"/>
      <c r="E10" s="9" t="s">
        <v>51</v>
      </c>
      <c r="F10" s="19" t="s">
        <v>992</v>
      </c>
      <c r="G10" s="9" t="s">
        <v>993</v>
      </c>
    </row>
    <row r="11" customFormat="false" ht="45.75" hidden="false" customHeight="true" outlineLevel="0" collapsed="false">
      <c r="A11" s="9" t="s">
        <v>59</v>
      </c>
      <c r="B11" s="9" t="s">
        <v>169</v>
      </c>
      <c r="C11" s="9" t="s">
        <v>28</v>
      </c>
      <c r="D11" s="9"/>
      <c r="E11" s="9"/>
      <c r="F11" s="19" t="s">
        <v>994</v>
      </c>
      <c r="G11" s="9" t="s">
        <v>995</v>
      </c>
    </row>
    <row r="12" customFormat="false" ht="23.25" hidden="false" customHeight="true" outlineLevel="0" collapsed="false">
      <c r="A12" s="9" t="s">
        <v>59</v>
      </c>
      <c r="B12" s="9" t="s">
        <v>169</v>
      </c>
      <c r="C12" s="9" t="s">
        <v>29</v>
      </c>
      <c r="D12" s="9"/>
      <c r="E12" s="9" t="s">
        <v>51</v>
      </c>
      <c r="F12" s="19" t="s">
        <v>996</v>
      </c>
      <c r="G12" s="9" t="s">
        <v>997</v>
      </c>
    </row>
    <row r="13" customFormat="false" ht="34.5" hidden="false" customHeight="true" outlineLevel="0" collapsed="false">
      <c r="A13" s="9" t="s">
        <v>59</v>
      </c>
      <c r="B13" s="9" t="s">
        <v>169</v>
      </c>
      <c r="C13" s="9" t="s">
        <v>30</v>
      </c>
      <c r="D13" s="9"/>
      <c r="E13" s="9" t="s">
        <v>49</v>
      </c>
      <c r="F13" s="19" t="s">
        <v>998</v>
      </c>
      <c r="G13" s="9" t="s">
        <v>999</v>
      </c>
    </row>
    <row r="14" customFormat="false" ht="23.25" hidden="false" customHeight="true" outlineLevel="0" collapsed="false">
      <c r="A14" s="9" t="s">
        <v>59</v>
      </c>
      <c r="B14" s="9" t="s">
        <v>169</v>
      </c>
      <c r="C14" s="9" t="s">
        <v>31</v>
      </c>
      <c r="D14" s="9"/>
      <c r="E14" s="9" t="s">
        <v>51</v>
      </c>
      <c r="F14" s="19" t="s">
        <v>1000</v>
      </c>
      <c r="G14" s="9" t="s">
        <v>1001</v>
      </c>
    </row>
    <row r="15" customFormat="false" ht="23.25" hidden="false" customHeight="true" outlineLevel="0" collapsed="false">
      <c r="A15" s="9" t="s">
        <v>59</v>
      </c>
      <c r="B15" s="9" t="s">
        <v>169</v>
      </c>
      <c r="C15" s="9" t="s">
        <v>32</v>
      </c>
      <c r="D15" s="9"/>
      <c r="E15" s="9" t="s">
        <v>51</v>
      </c>
      <c r="F15" s="19" t="s">
        <v>1002</v>
      </c>
      <c r="G15" s="9" t="s">
        <v>1003</v>
      </c>
    </row>
    <row r="16" customFormat="false" ht="34.5" hidden="false" customHeight="true" outlineLevel="0" collapsed="false">
      <c r="A16" s="9" t="s">
        <v>59</v>
      </c>
      <c r="B16" s="9" t="s">
        <v>169</v>
      </c>
      <c r="C16" s="9" t="s">
        <v>33</v>
      </c>
      <c r="D16" s="9"/>
      <c r="E16" s="9" t="s">
        <v>49</v>
      </c>
      <c r="F16" s="19" t="s">
        <v>1004</v>
      </c>
      <c r="G16" s="9" t="s">
        <v>1005</v>
      </c>
    </row>
    <row r="17" customFormat="false" ht="15" hidden="false" customHeight="true" outlineLevel="0" collapsed="false">
      <c r="A17" s="9" t="s">
        <v>59</v>
      </c>
      <c r="B17" s="9" t="s">
        <v>169</v>
      </c>
      <c r="C17" s="9" t="s">
        <v>34</v>
      </c>
      <c r="D17" s="9"/>
      <c r="E17" s="9" t="s">
        <v>51</v>
      </c>
      <c r="F17" s="19" t="s">
        <v>1006</v>
      </c>
      <c r="G17" s="9" t="s">
        <v>1007</v>
      </c>
    </row>
    <row r="18" customFormat="false" ht="23.25" hidden="false" customHeight="true" outlineLevel="0" collapsed="false">
      <c r="A18" s="9" t="s">
        <v>59</v>
      </c>
      <c r="B18" s="9" t="s">
        <v>169</v>
      </c>
      <c r="C18" s="9" t="s">
        <v>35</v>
      </c>
      <c r="D18" s="9"/>
      <c r="E18" s="9"/>
      <c r="F18" s="19" t="s">
        <v>1008</v>
      </c>
      <c r="G18" s="9" t="s">
        <v>1009</v>
      </c>
    </row>
    <row r="19" customFormat="false" ht="79.5" hidden="false" customHeight="true" outlineLevel="0" collapsed="false">
      <c r="A19" s="9" t="s">
        <v>59</v>
      </c>
      <c r="B19" s="9" t="s">
        <v>169</v>
      </c>
      <c r="C19" s="9" t="s">
        <v>36</v>
      </c>
      <c r="D19" s="9"/>
      <c r="E19" s="9" t="s">
        <v>58</v>
      </c>
      <c r="F19" s="19" t="s">
        <v>1010</v>
      </c>
      <c r="G19" s="9" t="s">
        <v>1011</v>
      </c>
    </row>
    <row r="20" customFormat="false" ht="68.25" hidden="false" customHeight="true" outlineLevel="0" collapsed="false">
      <c r="A20" s="9" t="s">
        <v>59</v>
      </c>
      <c r="B20" s="9" t="s">
        <v>169</v>
      </c>
      <c r="C20" s="9" t="s">
        <v>37</v>
      </c>
      <c r="D20" s="9"/>
      <c r="E20" s="9" t="s">
        <v>49</v>
      </c>
      <c r="F20" s="19" t="s">
        <v>1012</v>
      </c>
      <c r="G20" s="9" t="s">
        <v>1013</v>
      </c>
    </row>
    <row r="21" customFormat="false" ht="34.5" hidden="false" customHeight="true" outlineLevel="0" collapsed="false">
      <c r="A21" s="9" t="s">
        <v>59</v>
      </c>
      <c r="B21" s="9" t="s">
        <v>978</v>
      </c>
      <c r="C21" s="9" t="s">
        <v>979</v>
      </c>
      <c r="D21" s="9"/>
      <c r="E21" s="9"/>
      <c r="F21" s="19" t="s">
        <v>1014</v>
      </c>
      <c r="G21" s="9" t="s">
        <v>981</v>
      </c>
    </row>
    <row r="22" customFormat="false" ht="68.25" hidden="false" customHeight="true" outlineLevel="0" collapsed="false">
      <c r="A22" s="9" t="s">
        <v>164</v>
      </c>
      <c r="B22" s="9" t="s">
        <v>162</v>
      </c>
      <c r="C22" s="9" t="s">
        <v>23</v>
      </c>
      <c r="D22" s="9"/>
      <c r="E22" s="9" t="s">
        <v>52</v>
      </c>
      <c r="F22" s="19" t="s">
        <v>1015</v>
      </c>
      <c r="G22" s="9" t="s">
        <v>1016</v>
      </c>
    </row>
    <row r="23" customFormat="false" ht="34.5" hidden="false" customHeight="true" outlineLevel="0" collapsed="false">
      <c r="A23" s="9" t="s">
        <v>164</v>
      </c>
      <c r="B23" s="9" t="s">
        <v>162</v>
      </c>
      <c r="C23" s="9" t="s">
        <v>24</v>
      </c>
      <c r="D23" s="9"/>
      <c r="E23" s="9" t="s">
        <v>52</v>
      </c>
      <c r="F23" s="19" t="s">
        <v>1017</v>
      </c>
      <c r="G23" s="9" t="s">
        <v>1018</v>
      </c>
    </row>
    <row r="24" customFormat="false" ht="45.75" hidden="false" customHeight="true" outlineLevel="0" collapsed="false">
      <c r="A24" s="9" t="s">
        <v>164</v>
      </c>
      <c r="B24" s="9" t="s">
        <v>162</v>
      </c>
      <c r="C24" s="9" t="s">
        <v>25</v>
      </c>
      <c r="D24" s="9"/>
      <c r="E24" s="9" t="s">
        <v>51</v>
      </c>
      <c r="F24" s="19" t="s">
        <v>1019</v>
      </c>
      <c r="G24" s="9" t="s">
        <v>1020</v>
      </c>
    </row>
    <row r="25" customFormat="false" ht="34.5" hidden="false" customHeight="true" outlineLevel="0" collapsed="false">
      <c r="A25" s="9" t="s">
        <v>164</v>
      </c>
      <c r="B25" s="9" t="s">
        <v>162</v>
      </c>
      <c r="C25" s="9" t="s">
        <v>26</v>
      </c>
      <c r="D25" s="9"/>
      <c r="E25" s="9" t="s">
        <v>58</v>
      </c>
      <c r="F25" s="19" t="s">
        <v>1021</v>
      </c>
      <c r="G25" s="9" t="s">
        <v>1022</v>
      </c>
    </row>
    <row r="26" customFormat="false" ht="57" hidden="false" customHeight="true" outlineLevel="0" collapsed="false">
      <c r="A26" s="9" t="s">
        <v>164</v>
      </c>
      <c r="B26" s="9" t="s">
        <v>162</v>
      </c>
      <c r="C26" s="9" t="s">
        <v>27</v>
      </c>
      <c r="D26" s="9"/>
      <c r="E26" s="9" t="s">
        <v>49</v>
      </c>
      <c r="F26" s="19" t="s">
        <v>1023</v>
      </c>
      <c r="G26" s="9" t="s">
        <v>1024</v>
      </c>
    </row>
    <row r="27" customFormat="false" ht="45.75" hidden="false" customHeight="true" outlineLevel="0" collapsed="false">
      <c r="A27" s="9" t="s">
        <v>164</v>
      </c>
      <c r="B27" s="9" t="s">
        <v>162</v>
      </c>
      <c r="C27" s="9" t="s">
        <v>29</v>
      </c>
      <c r="D27" s="9"/>
      <c r="E27" s="9" t="s">
        <v>52</v>
      </c>
      <c r="F27" s="19" t="s">
        <v>1025</v>
      </c>
      <c r="G27" s="9" t="s">
        <v>1026</v>
      </c>
    </row>
    <row r="28" customFormat="false" ht="113.25" hidden="false" customHeight="true" outlineLevel="0" collapsed="false">
      <c r="A28" s="9" t="s">
        <v>164</v>
      </c>
      <c r="B28" s="9" t="s">
        <v>162</v>
      </c>
      <c r="C28" s="9" t="s">
        <v>30</v>
      </c>
      <c r="D28" s="9"/>
      <c r="E28" s="9" t="s">
        <v>49</v>
      </c>
      <c r="F28" s="19" t="s">
        <v>1027</v>
      </c>
      <c r="G28" s="9" t="s">
        <v>1028</v>
      </c>
    </row>
    <row r="29" customFormat="false" ht="34.5" hidden="false" customHeight="true" outlineLevel="0" collapsed="false">
      <c r="A29" s="9" t="s">
        <v>164</v>
      </c>
      <c r="B29" s="9" t="s">
        <v>162</v>
      </c>
      <c r="C29" s="9" t="s">
        <v>31</v>
      </c>
      <c r="D29" s="9"/>
      <c r="E29" s="9" t="s">
        <v>49</v>
      </c>
      <c r="F29" s="19" t="s">
        <v>1029</v>
      </c>
      <c r="G29" s="9" t="s">
        <v>1030</v>
      </c>
    </row>
    <row r="30" customFormat="false" ht="45.75" hidden="false" customHeight="true" outlineLevel="0" collapsed="false">
      <c r="A30" s="9" t="s">
        <v>164</v>
      </c>
      <c r="B30" s="9" t="s">
        <v>162</v>
      </c>
      <c r="C30" s="9" t="s">
        <v>32</v>
      </c>
      <c r="D30" s="9"/>
      <c r="E30" s="9" t="s">
        <v>52</v>
      </c>
      <c r="F30" s="19" t="s">
        <v>1031</v>
      </c>
      <c r="G30" s="9" t="s">
        <v>1032</v>
      </c>
    </row>
    <row r="31" customFormat="false" ht="57" hidden="false" customHeight="true" outlineLevel="0" collapsed="false">
      <c r="A31" s="9" t="s">
        <v>164</v>
      </c>
      <c r="B31" s="9" t="s">
        <v>162</v>
      </c>
      <c r="C31" s="9" t="s">
        <v>33</v>
      </c>
      <c r="D31" s="9"/>
      <c r="E31" s="9" t="s">
        <v>49</v>
      </c>
      <c r="F31" s="19" t="s">
        <v>1033</v>
      </c>
      <c r="G31" s="9" t="s">
        <v>1022</v>
      </c>
    </row>
    <row r="32" customFormat="false" ht="15" hidden="false" customHeight="true" outlineLevel="0" collapsed="false">
      <c r="A32" s="9" t="s">
        <v>164</v>
      </c>
      <c r="B32" s="9" t="s">
        <v>162</v>
      </c>
      <c r="C32" s="9" t="s">
        <v>34</v>
      </c>
      <c r="D32" s="9"/>
      <c r="E32" s="9" t="s">
        <v>51</v>
      </c>
      <c r="F32" s="19" t="s">
        <v>1034</v>
      </c>
      <c r="G32" s="9" t="s">
        <v>1035</v>
      </c>
    </row>
    <row r="33" customFormat="false" ht="34.5" hidden="false" customHeight="true" outlineLevel="0" collapsed="false">
      <c r="A33" s="9" t="s">
        <v>164</v>
      </c>
      <c r="B33" s="9" t="s">
        <v>162</v>
      </c>
      <c r="C33" s="9" t="s">
        <v>35</v>
      </c>
      <c r="D33" s="9"/>
      <c r="E33" s="9" t="s">
        <v>49</v>
      </c>
      <c r="F33" s="19" t="s">
        <v>1036</v>
      </c>
      <c r="G33" s="9" t="s">
        <v>1037</v>
      </c>
    </row>
    <row r="34" customFormat="false" ht="15" hidden="false" customHeight="true" outlineLevel="0" collapsed="false">
      <c r="A34" s="9" t="s">
        <v>164</v>
      </c>
      <c r="B34" s="9" t="s">
        <v>162</v>
      </c>
      <c r="C34" s="9" t="s">
        <v>36</v>
      </c>
      <c r="D34" s="9"/>
      <c r="E34" s="9" t="s">
        <v>51</v>
      </c>
      <c r="F34" s="19" t="s">
        <v>1038</v>
      </c>
      <c r="G34" s="9" t="s">
        <v>1039</v>
      </c>
    </row>
    <row r="35" customFormat="false" ht="45.75" hidden="false" customHeight="true" outlineLevel="0" collapsed="false">
      <c r="A35" s="9" t="s">
        <v>164</v>
      </c>
      <c r="B35" s="9" t="s">
        <v>162</v>
      </c>
      <c r="C35" s="9" t="s">
        <v>37</v>
      </c>
      <c r="D35" s="9"/>
      <c r="E35" s="9" t="s">
        <v>58</v>
      </c>
      <c r="F35" s="19" t="s">
        <v>1040</v>
      </c>
      <c r="G35" s="9" t="s">
        <v>1041</v>
      </c>
    </row>
    <row r="36" customFormat="false" ht="57" hidden="false" customHeight="true" outlineLevel="0" collapsed="false">
      <c r="A36" s="9" t="s">
        <v>164</v>
      </c>
      <c r="B36" s="9" t="s">
        <v>166</v>
      </c>
      <c r="C36" s="9" t="s">
        <v>23</v>
      </c>
      <c r="D36" s="9"/>
      <c r="E36" s="9" t="s">
        <v>52</v>
      </c>
      <c r="F36" s="19" t="s">
        <v>1042</v>
      </c>
      <c r="G36" s="9" t="s">
        <v>1043</v>
      </c>
    </row>
    <row r="37" customFormat="false" ht="34.5" hidden="false" customHeight="true" outlineLevel="0" collapsed="false">
      <c r="A37" s="9" t="s">
        <v>164</v>
      </c>
      <c r="B37" s="9" t="s">
        <v>166</v>
      </c>
      <c r="C37" s="9" t="s">
        <v>24</v>
      </c>
      <c r="D37" s="9"/>
      <c r="E37" s="9" t="s">
        <v>51</v>
      </c>
      <c r="F37" s="19" t="s">
        <v>1044</v>
      </c>
      <c r="G37" s="9" t="s">
        <v>1045</v>
      </c>
    </row>
    <row r="38" customFormat="false" ht="34.5" hidden="false" customHeight="true" outlineLevel="0" collapsed="false">
      <c r="A38" s="9" t="s">
        <v>164</v>
      </c>
      <c r="B38" s="9" t="s">
        <v>166</v>
      </c>
      <c r="C38" s="9" t="s">
        <v>25</v>
      </c>
      <c r="D38" s="9"/>
      <c r="E38" s="9" t="s">
        <v>72</v>
      </c>
      <c r="F38" s="19" t="s">
        <v>1046</v>
      </c>
      <c r="G38" s="9" t="s">
        <v>1047</v>
      </c>
    </row>
    <row r="39" customFormat="false" ht="45.75" hidden="false" customHeight="true" outlineLevel="0" collapsed="false">
      <c r="A39" s="9" t="s">
        <v>164</v>
      </c>
      <c r="B39" s="9" t="s">
        <v>166</v>
      </c>
      <c r="C39" s="9" t="s">
        <v>26</v>
      </c>
      <c r="D39" s="9"/>
      <c r="E39" s="9" t="s">
        <v>72</v>
      </c>
      <c r="F39" s="19" t="s">
        <v>1048</v>
      </c>
      <c r="G39" s="9" t="s">
        <v>1049</v>
      </c>
    </row>
    <row r="40" customFormat="false" ht="34.5" hidden="false" customHeight="true" outlineLevel="0" collapsed="false">
      <c r="A40" s="9" t="s">
        <v>164</v>
      </c>
      <c r="B40" s="9" t="s">
        <v>166</v>
      </c>
      <c r="C40" s="9" t="s">
        <v>27</v>
      </c>
      <c r="D40" s="9"/>
      <c r="E40" s="9" t="s">
        <v>52</v>
      </c>
      <c r="F40" s="19" t="s">
        <v>1050</v>
      </c>
      <c r="G40" s="9" t="s">
        <v>1051</v>
      </c>
    </row>
    <row r="41" customFormat="false" ht="45.75" hidden="false" customHeight="true" outlineLevel="0" collapsed="false">
      <c r="A41" s="9" t="s">
        <v>164</v>
      </c>
      <c r="B41" s="9" t="s">
        <v>166</v>
      </c>
      <c r="C41" s="9" t="s">
        <v>28</v>
      </c>
      <c r="D41" s="9"/>
      <c r="E41" s="9" t="s">
        <v>72</v>
      </c>
      <c r="F41" s="19" t="s">
        <v>1052</v>
      </c>
      <c r="G41" s="9" t="s">
        <v>1053</v>
      </c>
    </row>
    <row r="42" customFormat="false" ht="45.75" hidden="false" customHeight="true" outlineLevel="0" collapsed="false">
      <c r="A42" s="9" t="s">
        <v>164</v>
      </c>
      <c r="B42" s="9" t="s">
        <v>166</v>
      </c>
      <c r="C42" s="9" t="s">
        <v>29</v>
      </c>
      <c r="D42" s="9"/>
      <c r="E42" s="9" t="s">
        <v>58</v>
      </c>
      <c r="F42" s="19" t="s">
        <v>1054</v>
      </c>
      <c r="G42" s="9" t="s">
        <v>1055</v>
      </c>
    </row>
    <row r="43" customFormat="false" ht="34.5" hidden="false" customHeight="true" outlineLevel="0" collapsed="false">
      <c r="A43" s="9" t="s">
        <v>164</v>
      </c>
      <c r="B43" s="9" t="s">
        <v>166</v>
      </c>
      <c r="C43" s="9" t="s">
        <v>30</v>
      </c>
      <c r="D43" s="9"/>
      <c r="E43" s="9" t="s">
        <v>49</v>
      </c>
      <c r="F43" s="19" t="s">
        <v>1056</v>
      </c>
      <c r="G43" s="9" t="s">
        <v>1057</v>
      </c>
    </row>
    <row r="44" customFormat="false" ht="23.25" hidden="false" customHeight="true" outlineLevel="0" collapsed="false">
      <c r="A44" s="9" t="s">
        <v>164</v>
      </c>
      <c r="B44" s="9" t="s">
        <v>166</v>
      </c>
      <c r="C44" s="9" t="s">
        <v>31</v>
      </c>
      <c r="D44" s="9"/>
      <c r="E44" s="9" t="s">
        <v>51</v>
      </c>
      <c r="F44" s="19" t="s">
        <v>1058</v>
      </c>
      <c r="G44" s="9" t="s">
        <v>1059</v>
      </c>
    </row>
    <row r="45" customFormat="false" ht="34.5" hidden="false" customHeight="true" outlineLevel="0" collapsed="false">
      <c r="A45" s="9" t="s">
        <v>164</v>
      </c>
      <c r="B45" s="9" t="s">
        <v>166</v>
      </c>
      <c r="C45" s="9" t="s">
        <v>32</v>
      </c>
      <c r="D45" s="9"/>
      <c r="E45" s="9" t="s">
        <v>58</v>
      </c>
      <c r="F45" s="19" t="s">
        <v>1060</v>
      </c>
      <c r="G45" s="9" t="s">
        <v>1061</v>
      </c>
    </row>
    <row r="46" customFormat="false" ht="45.75" hidden="false" customHeight="true" outlineLevel="0" collapsed="false">
      <c r="A46" s="9" t="s">
        <v>164</v>
      </c>
      <c r="B46" s="9" t="s">
        <v>166</v>
      </c>
      <c r="C46" s="9" t="s">
        <v>33</v>
      </c>
      <c r="D46" s="9"/>
      <c r="E46" s="9" t="s">
        <v>49</v>
      </c>
      <c r="F46" s="19" t="s">
        <v>1062</v>
      </c>
      <c r="G46" s="9" t="s">
        <v>1063</v>
      </c>
    </row>
    <row r="47" customFormat="false" ht="15" hidden="false" customHeight="true" outlineLevel="0" collapsed="false">
      <c r="A47" s="9" t="s">
        <v>164</v>
      </c>
      <c r="B47" s="9" t="s">
        <v>166</v>
      </c>
      <c r="C47" s="9" t="s">
        <v>34</v>
      </c>
      <c r="D47" s="9"/>
      <c r="E47" s="9" t="s">
        <v>49</v>
      </c>
      <c r="F47" s="19" t="s">
        <v>1064</v>
      </c>
      <c r="G47" s="9" t="s">
        <v>1065</v>
      </c>
    </row>
    <row r="48" customFormat="false" ht="34.5" hidden="false" customHeight="true" outlineLevel="0" collapsed="false">
      <c r="A48" s="9" t="s">
        <v>164</v>
      </c>
      <c r="B48" s="9" t="s">
        <v>166</v>
      </c>
      <c r="C48" s="9" t="s">
        <v>35</v>
      </c>
      <c r="D48" s="9"/>
      <c r="E48" s="9" t="s">
        <v>49</v>
      </c>
      <c r="F48" s="19" t="s">
        <v>1066</v>
      </c>
      <c r="G48" s="9" t="s">
        <v>1067</v>
      </c>
    </row>
    <row r="49" customFormat="false" ht="45.75" hidden="false" customHeight="true" outlineLevel="0" collapsed="false">
      <c r="A49" s="9" t="s">
        <v>164</v>
      </c>
      <c r="B49" s="9" t="s">
        <v>166</v>
      </c>
      <c r="C49" s="9" t="s">
        <v>36</v>
      </c>
      <c r="D49" s="9"/>
      <c r="E49" s="9" t="s">
        <v>51</v>
      </c>
      <c r="F49" s="19" t="s">
        <v>1068</v>
      </c>
      <c r="G49" s="9" t="s">
        <v>1039</v>
      </c>
    </row>
    <row r="50" customFormat="false" ht="23.25" hidden="false" customHeight="true" outlineLevel="0" collapsed="false">
      <c r="A50" s="9" t="s">
        <v>164</v>
      </c>
      <c r="B50" s="9" t="s">
        <v>166</v>
      </c>
      <c r="C50" s="9" t="s">
        <v>37</v>
      </c>
      <c r="D50" s="9"/>
      <c r="E50" s="9" t="s">
        <v>49</v>
      </c>
      <c r="F50" s="19" t="s">
        <v>1069</v>
      </c>
      <c r="G50" s="9" t="s">
        <v>1070</v>
      </c>
    </row>
    <row r="51" customFormat="false" ht="23.25" hidden="false" customHeight="true" outlineLevel="0" collapsed="false">
      <c r="A51" s="9" t="s">
        <v>164</v>
      </c>
      <c r="B51" s="9" t="s">
        <v>55</v>
      </c>
      <c r="C51" s="9" t="s">
        <v>23</v>
      </c>
      <c r="D51" s="9" t="s">
        <v>49</v>
      </c>
      <c r="E51" s="9" t="s">
        <v>49</v>
      </c>
      <c r="F51" s="19" t="s">
        <v>1071</v>
      </c>
      <c r="G51" s="9" t="s">
        <v>1072</v>
      </c>
    </row>
    <row r="52" customFormat="false" ht="34.5" hidden="false" customHeight="true" outlineLevel="0" collapsed="false">
      <c r="A52" s="9" t="s">
        <v>164</v>
      </c>
      <c r="B52" s="9" t="s">
        <v>55</v>
      </c>
      <c r="C52" s="9" t="s">
        <v>24</v>
      </c>
      <c r="D52" s="9" t="s">
        <v>49</v>
      </c>
      <c r="E52" s="9" t="s">
        <v>49</v>
      </c>
      <c r="F52" s="19" t="s">
        <v>1073</v>
      </c>
      <c r="G52" s="9" t="s">
        <v>1074</v>
      </c>
    </row>
    <row r="53" customFormat="false" ht="15" hidden="false" customHeight="true" outlineLevel="0" collapsed="false">
      <c r="A53" s="9" t="s">
        <v>164</v>
      </c>
      <c r="B53" s="9" t="s">
        <v>55</v>
      </c>
      <c r="C53" s="9" t="s">
        <v>25</v>
      </c>
      <c r="D53" s="9"/>
      <c r="E53" s="9" t="s">
        <v>49</v>
      </c>
      <c r="F53" s="19" t="s">
        <v>1075</v>
      </c>
      <c r="G53" s="9" t="s">
        <v>1076</v>
      </c>
    </row>
    <row r="54" customFormat="false" ht="23.25" hidden="false" customHeight="true" outlineLevel="0" collapsed="false">
      <c r="A54" s="9" t="s">
        <v>164</v>
      </c>
      <c r="B54" s="9" t="s">
        <v>55</v>
      </c>
      <c r="C54" s="9" t="s">
        <v>26</v>
      </c>
      <c r="D54" s="9" t="s">
        <v>52</v>
      </c>
      <c r="E54" s="9" t="s">
        <v>52</v>
      </c>
      <c r="F54" s="19" t="s">
        <v>1077</v>
      </c>
      <c r="G54" s="9" t="s">
        <v>1078</v>
      </c>
    </row>
    <row r="55" customFormat="false" ht="45.75" hidden="false" customHeight="true" outlineLevel="0" collapsed="false">
      <c r="A55" s="9" t="s">
        <v>164</v>
      </c>
      <c r="B55" s="9" t="s">
        <v>55</v>
      </c>
      <c r="C55" s="9" t="s">
        <v>27</v>
      </c>
      <c r="D55" s="9" t="s">
        <v>49</v>
      </c>
      <c r="E55" s="9" t="s">
        <v>49</v>
      </c>
      <c r="F55" s="19" t="s">
        <v>1079</v>
      </c>
      <c r="G55" s="9" t="s">
        <v>1080</v>
      </c>
    </row>
    <row r="56" customFormat="false" ht="34.5" hidden="false" customHeight="true" outlineLevel="0" collapsed="false">
      <c r="A56" s="9" t="s">
        <v>164</v>
      </c>
      <c r="B56" s="9" t="s">
        <v>55</v>
      </c>
      <c r="C56" s="9" t="s">
        <v>28</v>
      </c>
      <c r="D56" s="9" t="s">
        <v>58</v>
      </c>
      <c r="E56" s="9" t="s">
        <v>58</v>
      </c>
      <c r="F56" s="19" t="s">
        <v>1081</v>
      </c>
      <c r="G56" s="9" t="s">
        <v>1082</v>
      </c>
    </row>
    <row r="57" customFormat="false" ht="45.75" hidden="false" customHeight="true" outlineLevel="0" collapsed="false">
      <c r="A57" s="9" t="s">
        <v>164</v>
      </c>
      <c r="B57" s="9" t="s">
        <v>55</v>
      </c>
      <c r="C57" s="9" t="s">
        <v>29</v>
      </c>
      <c r="D57" s="9" t="s">
        <v>51</v>
      </c>
      <c r="E57" s="9" t="s">
        <v>51</v>
      </c>
      <c r="F57" s="19" t="s">
        <v>1083</v>
      </c>
      <c r="G57" s="9" t="s">
        <v>1084</v>
      </c>
    </row>
    <row r="58" customFormat="false" ht="57" hidden="false" customHeight="true" outlineLevel="0" collapsed="false">
      <c r="A58" s="9" t="s">
        <v>164</v>
      </c>
      <c r="B58" s="9" t="s">
        <v>55</v>
      </c>
      <c r="C58" s="9" t="s">
        <v>30</v>
      </c>
      <c r="D58" s="9" t="s">
        <v>49</v>
      </c>
      <c r="E58" s="9" t="s">
        <v>49</v>
      </c>
      <c r="F58" s="19" t="s">
        <v>1085</v>
      </c>
      <c r="G58" s="9" t="s">
        <v>1086</v>
      </c>
    </row>
    <row r="59" customFormat="false" ht="15" hidden="false" customHeight="true" outlineLevel="0" collapsed="false">
      <c r="A59" s="9" t="s">
        <v>164</v>
      </c>
      <c r="B59" s="9" t="s">
        <v>55</v>
      </c>
      <c r="C59" s="9" t="s">
        <v>31</v>
      </c>
      <c r="D59" s="9" t="s">
        <v>49</v>
      </c>
      <c r="E59" s="9" t="s">
        <v>49</v>
      </c>
      <c r="F59" s="19" t="s">
        <v>1087</v>
      </c>
      <c r="G59" s="9" t="s">
        <v>1088</v>
      </c>
    </row>
    <row r="60" customFormat="false" ht="34.5" hidden="false" customHeight="true" outlineLevel="0" collapsed="false">
      <c r="A60" s="9" t="s">
        <v>164</v>
      </c>
      <c r="B60" s="9" t="s">
        <v>55</v>
      </c>
      <c r="C60" s="9" t="s">
        <v>32</v>
      </c>
      <c r="D60" s="9" t="s">
        <v>49</v>
      </c>
      <c r="E60" s="9" t="s">
        <v>49</v>
      </c>
      <c r="F60" s="19" t="s">
        <v>1089</v>
      </c>
      <c r="G60" s="9" t="s">
        <v>1090</v>
      </c>
    </row>
    <row r="61" customFormat="false" ht="57" hidden="false" customHeight="true" outlineLevel="0" collapsed="false">
      <c r="A61" s="9" t="s">
        <v>164</v>
      </c>
      <c r="B61" s="9" t="s">
        <v>55</v>
      </c>
      <c r="C61" s="9" t="s">
        <v>33</v>
      </c>
      <c r="D61" s="9" t="s">
        <v>49</v>
      </c>
      <c r="E61" s="9" t="s">
        <v>49</v>
      </c>
      <c r="F61" s="19" t="s">
        <v>1091</v>
      </c>
      <c r="G61" s="9" t="s">
        <v>1022</v>
      </c>
    </row>
    <row r="62" customFormat="false" ht="45.75" hidden="false" customHeight="true" outlineLevel="0" collapsed="false">
      <c r="A62" s="9" t="s">
        <v>164</v>
      </c>
      <c r="B62" s="9" t="s">
        <v>55</v>
      </c>
      <c r="C62" s="9" t="s">
        <v>34</v>
      </c>
      <c r="D62" s="9" t="s">
        <v>50</v>
      </c>
      <c r="E62" s="9" t="s">
        <v>51</v>
      </c>
      <c r="F62" s="19" t="s">
        <v>1092</v>
      </c>
      <c r="G62" s="9" t="s">
        <v>1065</v>
      </c>
    </row>
    <row r="63" customFormat="false" ht="34.5" hidden="false" customHeight="true" outlineLevel="0" collapsed="false">
      <c r="A63" s="9" t="s">
        <v>164</v>
      </c>
      <c r="B63" s="9" t="s">
        <v>55</v>
      </c>
      <c r="C63" s="9" t="s">
        <v>35</v>
      </c>
      <c r="D63" s="9" t="s">
        <v>49</v>
      </c>
      <c r="E63" s="9" t="s">
        <v>49</v>
      </c>
      <c r="F63" s="19" t="s">
        <v>1093</v>
      </c>
      <c r="G63" s="9" t="s">
        <v>1094</v>
      </c>
    </row>
    <row r="64" customFormat="false" ht="34.5" hidden="false" customHeight="true" outlineLevel="0" collapsed="false">
      <c r="A64" s="9" t="s">
        <v>164</v>
      </c>
      <c r="B64" s="9" t="s">
        <v>55</v>
      </c>
      <c r="C64" s="9" t="s">
        <v>36</v>
      </c>
      <c r="D64" s="9" t="s">
        <v>49</v>
      </c>
      <c r="E64" s="9" t="s">
        <v>49</v>
      </c>
      <c r="F64" s="19" t="s">
        <v>1095</v>
      </c>
      <c r="G64" s="9" t="s">
        <v>1096</v>
      </c>
    </row>
    <row r="65" customFormat="false" ht="15" hidden="false" customHeight="true" outlineLevel="0" collapsed="false">
      <c r="A65" s="9" t="s">
        <v>164</v>
      </c>
      <c r="B65" s="9" t="s">
        <v>55</v>
      </c>
      <c r="C65" s="9" t="s">
        <v>37</v>
      </c>
      <c r="D65" s="9" t="s">
        <v>49</v>
      </c>
      <c r="E65" s="9" t="s">
        <v>49</v>
      </c>
      <c r="F65" s="19" t="s">
        <v>1097</v>
      </c>
      <c r="G65" s="9" t="s">
        <v>1070</v>
      </c>
    </row>
    <row r="66" customFormat="false" ht="34.5" hidden="false" customHeight="true" outlineLevel="0" collapsed="false">
      <c r="A66" s="9" t="s">
        <v>164</v>
      </c>
      <c r="B66" s="9" t="s">
        <v>162</v>
      </c>
      <c r="C66" s="9" t="s">
        <v>1098</v>
      </c>
      <c r="D66" s="9"/>
      <c r="E66" s="9" t="s">
        <v>52</v>
      </c>
      <c r="F66" s="19" t="s">
        <v>1099</v>
      </c>
      <c r="G66" s="9" t="s">
        <v>1100</v>
      </c>
    </row>
    <row r="67" customFormat="false" ht="15" hidden="false" customHeight="true" outlineLevel="0" collapsed="false">
      <c r="A67" s="9" t="s">
        <v>164</v>
      </c>
      <c r="B67" s="9" t="s">
        <v>162</v>
      </c>
      <c r="C67" s="9" t="s">
        <v>33</v>
      </c>
      <c r="D67" s="9"/>
      <c r="E67" s="9" t="s">
        <v>49</v>
      </c>
      <c r="F67" s="19" t="s">
        <v>1033</v>
      </c>
      <c r="G67" s="9" t="s">
        <v>1101</v>
      </c>
    </row>
    <row r="68" customFormat="false" ht="15" hidden="false" customHeight="true" outlineLevel="0" collapsed="false">
      <c r="A68" s="9" t="s">
        <v>164</v>
      </c>
      <c r="B68" s="9" t="s">
        <v>162</v>
      </c>
      <c r="C68" s="9" t="s">
        <v>34</v>
      </c>
      <c r="D68" s="9"/>
      <c r="E68" s="9" t="s">
        <v>51</v>
      </c>
      <c r="F68" s="19" t="s">
        <v>1034</v>
      </c>
      <c r="G68" s="9" t="s">
        <v>1102</v>
      </c>
    </row>
    <row r="69" customFormat="false" ht="15" hidden="false" customHeight="true" outlineLevel="0" collapsed="false">
      <c r="A69" s="9" t="s">
        <v>164</v>
      </c>
      <c r="B69" s="9" t="s">
        <v>162</v>
      </c>
      <c r="C69" s="9" t="s">
        <v>35</v>
      </c>
      <c r="D69" s="9"/>
      <c r="E69" s="9" t="s">
        <v>49</v>
      </c>
      <c r="F69" s="19" t="s">
        <v>1036</v>
      </c>
      <c r="G69" s="9" t="s">
        <v>1103</v>
      </c>
    </row>
    <row r="70" customFormat="false" ht="15" hidden="false" customHeight="true" outlineLevel="0" collapsed="false">
      <c r="A70" s="9" t="s">
        <v>164</v>
      </c>
      <c r="B70" s="9" t="s">
        <v>162</v>
      </c>
      <c r="C70" s="9" t="s">
        <v>36</v>
      </c>
      <c r="D70" s="9"/>
      <c r="E70" s="9" t="s">
        <v>51</v>
      </c>
      <c r="F70" s="19" t="s">
        <v>1038</v>
      </c>
      <c r="G70" s="9" t="s">
        <v>1104</v>
      </c>
    </row>
    <row r="71" customFormat="false" ht="15" hidden="false" customHeight="true" outlineLevel="0" collapsed="false">
      <c r="A71" s="9" t="s">
        <v>164</v>
      </c>
      <c r="B71" s="9" t="s">
        <v>162</v>
      </c>
      <c r="C71" s="9" t="s">
        <v>37</v>
      </c>
      <c r="D71" s="9"/>
      <c r="E71" s="9" t="s">
        <v>58</v>
      </c>
      <c r="F71" s="19" t="s">
        <v>1040</v>
      </c>
      <c r="G71" s="9" t="s">
        <v>1105</v>
      </c>
    </row>
    <row r="72" customFormat="false" ht="15" hidden="false" customHeight="true" outlineLevel="0" collapsed="false">
      <c r="A72" s="9" t="s">
        <v>164</v>
      </c>
      <c r="B72" s="9" t="s">
        <v>166</v>
      </c>
      <c r="C72" s="9" t="s">
        <v>1098</v>
      </c>
      <c r="D72" s="9"/>
      <c r="E72" s="9" t="s">
        <v>72</v>
      </c>
      <c r="F72" s="19" t="s">
        <v>1052</v>
      </c>
      <c r="G72" s="9" t="s">
        <v>1106</v>
      </c>
    </row>
    <row r="73" customFormat="false" ht="15" hidden="false" customHeight="true" outlineLevel="0" collapsed="false">
      <c r="A73" s="9" t="s">
        <v>164</v>
      </c>
      <c r="B73" s="9" t="s">
        <v>166</v>
      </c>
      <c r="C73" s="9" t="s">
        <v>33</v>
      </c>
      <c r="D73" s="9"/>
      <c r="E73" s="9" t="s">
        <v>49</v>
      </c>
      <c r="F73" s="19" t="s">
        <v>1062</v>
      </c>
      <c r="G73" s="9" t="s">
        <v>1107</v>
      </c>
    </row>
    <row r="74" customFormat="false" ht="15" hidden="false" customHeight="true" outlineLevel="0" collapsed="false">
      <c r="A74" s="9" t="s">
        <v>164</v>
      </c>
      <c r="B74" s="9" t="s">
        <v>166</v>
      </c>
      <c r="C74" s="9" t="s">
        <v>34</v>
      </c>
      <c r="D74" s="9"/>
      <c r="E74" s="9" t="s">
        <v>49</v>
      </c>
      <c r="F74" s="19" t="s">
        <v>1064</v>
      </c>
      <c r="G74" s="9" t="s">
        <v>1108</v>
      </c>
    </row>
    <row r="75" customFormat="false" ht="15" hidden="false" customHeight="true" outlineLevel="0" collapsed="false">
      <c r="A75" s="9" t="s">
        <v>164</v>
      </c>
      <c r="B75" s="9" t="s">
        <v>166</v>
      </c>
      <c r="C75" s="9" t="s">
        <v>35</v>
      </c>
      <c r="D75" s="9"/>
      <c r="E75" s="9" t="s">
        <v>49</v>
      </c>
      <c r="F75" s="19" t="s">
        <v>1066</v>
      </c>
      <c r="G75" s="9" t="s">
        <v>1109</v>
      </c>
    </row>
    <row r="76" customFormat="false" ht="15" hidden="false" customHeight="true" outlineLevel="0" collapsed="false">
      <c r="A76" s="9" t="s">
        <v>164</v>
      </c>
      <c r="B76" s="9" t="s">
        <v>166</v>
      </c>
      <c r="C76" s="9" t="s">
        <v>36</v>
      </c>
      <c r="D76" s="9"/>
      <c r="E76" s="9" t="s">
        <v>51</v>
      </c>
      <c r="F76" s="19" t="s">
        <v>1068</v>
      </c>
      <c r="G76" s="9" t="s">
        <v>1104</v>
      </c>
    </row>
    <row r="77" customFormat="false" ht="15" hidden="false" customHeight="true" outlineLevel="0" collapsed="false">
      <c r="A77" s="9" t="s">
        <v>164</v>
      </c>
      <c r="B77" s="9" t="s">
        <v>166</v>
      </c>
      <c r="C77" s="9" t="s">
        <v>37</v>
      </c>
      <c r="D77" s="9"/>
      <c r="E77" s="9" t="s">
        <v>49</v>
      </c>
      <c r="F77" s="19" t="s">
        <v>1069</v>
      </c>
      <c r="G77" s="9" t="s">
        <v>1110</v>
      </c>
    </row>
    <row r="78" customFormat="false" ht="15" hidden="false" customHeight="true" outlineLevel="0" collapsed="false">
      <c r="A78" s="9" t="s">
        <v>164</v>
      </c>
      <c r="B78" s="9" t="s">
        <v>55</v>
      </c>
      <c r="C78" s="9" t="s">
        <v>1111</v>
      </c>
      <c r="D78" s="9"/>
      <c r="E78" s="9" t="s">
        <v>49</v>
      </c>
      <c r="F78" s="19" t="s">
        <v>1112</v>
      </c>
      <c r="G78" s="9" t="s">
        <v>1113</v>
      </c>
    </row>
    <row r="79" customFormat="false" ht="15" hidden="false" customHeight="true" outlineLevel="0" collapsed="false">
      <c r="A79" s="9" t="s">
        <v>164</v>
      </c>
      <c r="B79" s="9" t="s">
        <v>55</v>
      </c>
      <c r="C79" s="9" t="s">
        <v>1098</v>
      </c>
      <c r="D79" s="9"/>
      <c r="E79" s="9" t="s">
        <v>58</v>
      </c>
      <c r="F79" s="19" t="s">
        <v>1081</v>
      </c>
      <c r="G79" s="9" t="s">
        <v>1114</v>
      </c>
    </row>
    <row r="80" customFormat="false" ht="15" hidden="false" customHeight="true" outlineLevel="0" collapsed="false">
      <c r="A80" s="9" t="s">
        <v>164</v>
      </c>
      <c r="B80" s="9" t="s">
        <v>55</v>
      </c>
      <c r="C80" s="9" t="s">
        <v>1115</v>
      </c>
      <c r="D80" s="9"/>
      <c r="E80" s="9" t="s">
        <v>51</v>
      </c>
      <c r="F80" s="19" t="s">
        <v>1083</v>
      </c>
      <c r="G80" s="9" t="s">
        <v>1116</v>
      </c>
    </row>
    <row r="81" customFormat="false" ht="15" hidden="false" customHeight="true" outlineLevel="0" collapsed="false">
      <c r="A81" s="9" t="s">
        <v>164</v>
      </c>
      <c r="B81" s="9" t="s">
        <v>55</v>
      </c>
      <c r="C81" s="9" t="s">
        <v>1117</v>
      </c>
      <c r="D81" s="9"/>
      <c r="E81" s="9" t="s">
        <v>51</v>
      </c>
      <c r="F81" s="19" t="s">
        <v>1092</v>
      </c>
      <c r="G81" s="9" t="s">
        <v>1118</v>
      </c>
    </row>
    <row r="82" customFormat="false" ht="15" hidden="false" customHeight="true" outlineLevel="0" collapsed="false">
      <c r="A82" s="9" t="s">
        <v>164</v>
      </c>
      <c r="B82" s="9" t="s">
        <v>55</v>
      </c>
      <c r="C82" s="9" t="s">
        <v>1119</v>
      </c>
      <c r="D82" s="9"/>
      <c r="E82" s="9" t="s">
        <v>49</v>
      </c>
      <c r="F82" s="19" t="s">
        <v>1095</v>
      </c>
      <c r="G82" s="9" t="s">
        <v>1104</v>
      </c>
    </row>
    <row r="83" customFormat="false" ht="15" hidden="false" customHeight="true" outlineLevel="0" collapsed="false">
      <c r="A83" s="9" t="s">
        <v>164</v>
      </c>
      <c r="B83" s="9" t="s">
        <v>55</v>
      </c>
      <c r="C83" s="9" t="s">
        <v>1120</v>
      </c>
      <c r="D83" s="9"/>
      <c r="E83" s="9" t="s">
        <v>49</v>
      </c>
      <c r="F83" s="19" t="s">
        <v>1097</v>
      </c>
      <c r="G83" s="9" t="s">
        <v>1105</v>
      </c>
    </row>
    <row r="84" customFormat="false" ht="15" hidden="false" customHeight="true" outlineLevel="0" collapsed="false">
      <c r="A84" s="9" t="s">
        <v>53</v>
      </c>
      <c r="B84" s="9" t="s">
        <v>46</v>
      </c>
      <c r="C84" s="9" t="s">
        <v>28</v>
      </c>
      <c r="D84" s="9"/>
      <c r="E84" s="9" t="s">
        <v>49</v>
      </c>
      <c r="F84" s="19" t="s">
        <v>1121</v>
      </c>
      <c r="G84" s="9" t="s">
        <v>1122</v>
      </c>
    </row>
    <row r="85" customFormat="false" ht="15" hidden="false" customHeight="true" outlineLevel="0" collapsed="false">
      <c r="A85" s="9" t="s">
        <v>53</v>
      </c>
      <c r="B85" s="9" t="s">
        <v>55</v>
      </c>
      <c r="C85" s="9" t="s">
        <v>28</v>
      </c>
      <c r="D85" s="9"/>
      <c r="E85" s="9" t="s">
        <v>49</v>
      </c>
      <c r="F85" s="19" t="s">
        <v>1123</v>
      </c>
      <c r="G85" s="9" t="s">
        <v>1122</v>
      </c>
    </row>
    <row r="86" customFormat="false" ht="15" hidden="false" customHeight="true" outlineLevel="0" collapsed="false">
      <c r="A86" s="9" t="s">
        <v>53</v>
      </c>
      <c r="B86" s="9" t="s">
        <v>55</v>
      </c>
      <c r="C86" s="9" t="s">
        <v>26</v>
      </c>
      <c r="D86" s="9" t="s">
        <v>49</v>
      </c>
      <c r="E86" s="9" t="s">
        <v>52</v>
      </c>
      <c r="F86" s="19" t="s">
        <v>1124</v>
      </c>
      <c r="G86" s="9" t="s">
        <v>1125</v>
      </c>
    </row>
    <row r="87" customFormat="false" ht="15" hidden="false" customHeight="true" outlineLevel="0" collapsed="false">
      <c r="A87" s="9" t="s">
        <v>53</v>
      </c>
      <c r="B87" s="9" t="s">
        <v>61</v>
      </c>
      <c r="C87" s="9" t="s">
        <v>28</v>
      </c>
      <c r="D87" s="9" t="s">
        <v>52</v>
      </c>
      <c r="E87" s="9" t="s">
        <v>49</v>
      </c>
      <c r="F87" s="19" t="s">
        <v>1126</v>
      </c>
      <c r="G87" s="9" t="s">
        <v>1122</v>
      </c>
    </row>
    <row r="88" customFormat="false" ht="15" hidden="false" customHeight="true" outlineLevel="0" collapsed="false">
      <c r="A88" s="9" t="s">
        <v>53</v>
      </c>
      <c r="B88" s="9" t="s">
        <v>61</v>
      </c>
      <c r="C88" s="9" t="s">
        <v>26</v>
      </c>
      <c r="D88" s="9" t="s">
        <v>52</v>
      </c>
      <c r="E88" s="9" t="s">
        <v>51</v>
      </c>
      <c r="F88" s="19" t="s">
        <v>1127</v>
      </c>
      <c r="G88" s="9" t="s">
        <v>1125</v>
      </c>
    </row>
    <row r="89" customFormat="false" ht="15" hidden="false" customHeight="true" outlineLevel="0" collapsed="false">
      <c r="A89" s="9" t="s">
        <v>53</v>
      </c>
      <c r="B89" s="9" t="s">
        <v>64</v>
      </c>
      <c r="C89" s="9" t="s">
        <v>28</v>
      </c>
      <c r="D89" s="9"/>
      <c r="E89" s="9" t="s">
        <v>49</v>
      </c>
      <c r="F89" s="19" t="s">
        <v>1128</v>
      </c>
      <c r="G89" s="9" t="s">
        <v>1122</v>
      </c>
    </row>
    <row r="90" customFormat="false" ht="15" hidden="false" customHeight="true" outlineLevel="0" collapsed="false">
      <c r="A90" s="9" t="s">
        <v>53</v>
      </c>
      <c r="B90" s="9" t="s">
        <v>67</v>
      </c>
      <c r="C90" s="9" t="s">
        <v>28</v>
      </c>
      <c r="D90" s="9"/>
      <c r="E90" s="9" t="s">
        <v>49</v>
      </c>
      <c r="F90" s="19" t="s">
        <v>1129</v>
      </c>
      <c r="G90" s="9" t="s">
        <v>1122</v>
      </c>
    </row>
    <row r="91" customFormat="false" ht="15" hidden="false" customHeight="true" outlineLevel="0" collapsed="false">
      <c r="A91" s="9" t="s">
        <v>53</v>
      </c>
      <c r="B91" s="9" t="s">
        <v>70</v>
      </c>
      <c r="C91" s="9" t="s">
        <v>28</v>
      </c>
      <c r="D91" s="9"/>
      <c r="E91" s="9" t="s">
        <v>49</v>
      </c>
      <c r="F91" s="19" t="s">
        <v>1130</v>
      </c>
      <c r="G91" s="9" t="s">
        <v>1122</v>
      </c>
    </row>
    <row r="92" customFormat="false" ht="15" hidden="false" customHeight="true" outlineLevel="0" collapsed="false">
      <c r="A92" s="9" t="s">
        <v>53</v>
      </c>
      <c r="B92" s="9" t="s">
        <v>70</v>
      </c>
      <c r="C92" s="9" t="s">
        <v>26</v>
      </c>
      <c r="D92" s="9"/>
      <c r="E92" s="9" t="s">
        <v>49</v>
      </c>
      <c r="F92" s="19" t="s">
        <v>1131</v>
      </c>
      <c r="G92" s="9" t="s">
        <v>1125</v>
      </c>
    </row>
    <row r="93" customFormat="false" ht="15" hidden="false" customHeight="true" outlineLevel="0" collapsed="false">
      <c r="A93" s="9" t="s">
        <v>53</v>
      </c>
      <c r="B93" s="9" t="s">
        <v>74</v>
      </c>
      <c r="C93" s="9" t="s">
        <v>28</v>
      </c>
      <c r="D93" s="9"/>
      <c r="E93" s="9" t="s">
        <v>49</v>
      </c>
      <c r="F93" s="19" t="s">
        <v>1132</v>
      </c>
      <c r="G93" s="9" t="s">
        <v>1122</v>
      </c>
    </row>
    <row r="94" customFormat="false" ht="15" hidden="false" customHeight="true" outlineLevel="0" collapsed="false">
      <c r="A94" s="9" t="s">
        <v>53</v>
      </c>
      <c r="B94" s="9" t="s">
        <v>74</v>
      </c>
      <c r="C94" s="9" t="s">
        <v>26</v>
      </c>
      <c r="D94" s="9" t="s">
        <v>52</v>
      </c>
      <c r="E94" s="9" t="s">
        <v>58</v>
      </c>
      <c r="F94" s="19" t="s">
        <v>1133</v>
      </c>
      <c r="G94" s="9" t="s">
        <v>1125</v>
      </c>
    </row>
    <row r="95" customFormat="false" ht="15" hidden="false" customHeight="true" outlineLevel="0" collapsed="false">
      <c r="A95" s="9" t="s">
        <v>53</v>
      </c>
      <c r="B95" s="9" t="s">
        <v>77</v>
      </c>
      <c r="C95" s="9" t="s">
        <v>28</v>
      </c>
      <c r="D95" s="9" t="s">
        <v>52</v>
      </c>
      <c r="E95" s="9" t="s">
        <v>49</v>
      </c>
      <c r="F95" s="19" t="s">
        <v>1134</v>
      </c>
      <c r="G95" s="9" t="s">
        <v>1122</v>
      </c>
    </row>
    <row r="96" customFormat="false" ht="15" hidden="false" customHeight="true" outlineLevel="0" collapsed="false">
      <c r="A96" s="9" t="s">
        <v>53</v>
      </c>
      <c r="B96" s="9" t="s">
        <v>80</v>
      </c>
      <c r="C96" s="9" t="s">
        <v>28</v>
      </c>
      <c r="D96" s="9" t="s">
        <v>52</v>
      </c>
      <c r="E96" s="9" t="s">
        <v>51</v>
      </c>
      <c r="F96" s="19" t="s">
        <v>1135</v>
      </c>
      <c r="G96" s="9" t="s">
        <v>1122</v>
      </c>
    </row>
    <row r="97" customFormat="false" ht="15" hidden="false" customHeight="true" outlineLevel="0" collapsed="false">
      <c r="A97" s="9" t="s">
        <v>53</v>
      </c>
      <c r="B97" s="9" t="s">
        <v>83</v>
      </c>
      <c r="C97" s="9" t="s">
        <v>28</v>
      </c>
      <c r="D97" s="9"/>
      <c r="E97" s="9" t="s">
        <v>49</v>
      </c>
      <c r="F97" s="19" t="s">
        <v>1136</v>
      </c>
      <c r="G97" s="9" t="s">
        <v>1122</v>
      </c>
    </row>
    <row r="98" customFormat="false" ht="15" hidden="false" customHeight="true" outlineLevel="0" collapsed="false">
      <c r="A98" s="9" t="s">
        <v>53</v>
      </c>
      <c r="B98" s="9" t="s">
        <v>86</v>
      </c>
      <c r="C98" s="9" t="s">
        <v>27</v>
      </c>
      <c r="D98" s="9"/>
      <c r="E98" s="9" t="s">
        <v>49</v>
      </c>
      <c r="F98" s="19" t="s">
        <v>1137</v>
      </c>
      <c r="G98" s="9" t="s">
        <v>1138</v>
      </c>
    </row>
    <row r="99" customFormat="false" ht="15" hidden="false" customHeight="true" outlineLevel="0" collapsed="false">
      <c r="A99" s="9" t="s">
        <v>53</v>
      </c>
      <c r="B99" s="9" t="s">
        <v>86</v>
      </c>
      <c r="C99" s="9" t="s">
        <v>28</v>
      </c>
      <c r="D99" s="9" t="s">
        <v>52</v>
      </c>
      <c r="E99" s="9" t="s">
        <v>49</v>
      </c>
      <c r="F99" s="19" t="s">
        <v>1139</v>
      </c>
      <c r="G99" s="9" t="s">
        <v>1122</v>
      </c>
    </row>
    <row r="100" customFormat="false" ht="15" hidden="false" customHeight="true" outlineLevel="0" collapsed="false">
      <c r="A100" s="9" t="s">
        <v>53</v>
      </c>
      <c r="B100" s="9" t="s">
        <v>86</v>
      </c>
      <c r="C100" s="9" t="s">
        <v>26</v>
      </c>
      <c r="D100" s="9" t="s">
        <v>52</v>
      </c>
      <c r="E100" s="9" t="s">
        <v>51</v>
      </c>
      <c r="F100" s="19" t="s">
        <v>1140</v>
      </c>
      <c r="G100" s="9" t="s">
        <v>1125</v>
      </c>
    </row>
    <row r="101" customFormat="false" ht="15" hidden="false" customHeight="true" outlineLevel="0" collapsed="false">
      <c r="A101" s="9" t="s">
        <v>53</v>
      </c>
      <c r="B101" s="9" t="s">
        <v>88</v>
      </c>
      <c r="C101" s="9" t="s">
        <v>28</v>
      </c>
      <c r="D101" s="9"/>
      <c r="E101" s="9" t="s">
        <v>49</v>
      </c>
      <c r="F101" s="19" t="s">
        <v>1141</v>
      </c>
      <c r="G101" s="9" t="s">
        <v>1122</v>
      </c>
    </row>
    <row r="102" customFormat="false" ht="15" hidden="false" customHeight="true" outlineLevel="0" collapsed="false">
      <c r="A102" s="9" t="s">
        <v>53</v>
      </c>
      <c r="B102" s="9" t="s">
        <v>91</v>
      </c>
      <c r="C102" s="9" t="s">
        <v>27</v>
      </c>
      <c r="D102" s="9" t="s">
        <v>72</v>
      </c>
      <c r="E102" s="9" t="s">
        <v>52</v>
      </c>
      <c r="F102" s="19" t="s">
        <v>1142</v>
      </c>
      <c r="G102" s="9" t="s">
        <v>1138</v>
      </c>
    </row>
    <row r="103" customFormat="false" ht="15" hidden="false" customHeight="true" outlineLevel="0" collapsed="false">
      <c r="A103" s="9" t="s">
        <v>53</v>
      </c>
      <c r="B103" s="9" t="s">
        <v>94</v>
      </c>
      <c r="C103" s="9" t="s">
        <v>28</v>
      </c>
      <c r="D103" s="9"/>
      <c r="E103" s="9" t="s">
        <v>49</v>
      </c>
      <c r="F103" s="19" t="s">
        <v>1143</v>
      </c>
      <c r="G103" s="9" t="s">
        <v>1122</v>
      </c>
    </row>
    <row r="104" customFormat="false" ht="23.25" hidden="false" customHeight="true" outlineLevel="0" collapsed="false">
      <c r="A104" s="9" t="s">
        <v>53</v>
      </c>
      <c r="B104" s="9" t="s">
        <v>97</v>
      </c>
      <c r="C104" s="9" t="s">
        <v>28</v>
      </c>
      <c r="D104" s="9" t="s">
        <v>52</v>
      </c>
      <c r="E104" s="9" t="s">
        <v>49</v>
      </c>
      <c r="F104" s="19" t="s">
        <v>1144</v>
      </c>
      <c r="G104" s="9" t="s">
        <v>1122</v>
      </c>
    </row>
    <row r="105" customFormat="false" ht="34.5" hidden="false" customHeight="true" outlineLevel="0" collapsed="false">
      <c r="A105" s="9" t="s">
        <v>53</v>
      </c>
      <c r="B105" s="9" t="s">
        <v>100</v>
      </c>
      <c r="C105" s="9" t="s">
        <v>28</v>
      </c>
      <c r="D105" s="9"/>
      <c r="E105" s="9" t="s">
        <v>52</v>
      </c>
      <c r="F105" s="19" t="s">
        <v>1145</v>
      </c>
      <c r="G105" s="9" t="s">
        <v>1122</v>
      </c>
    </row>
    <row r="106" customFormat="false" ht="15" hidden="false" customHeight="true" outlineLevel="0" collapsed="false">
      <c r="A106" s="9" t="s">
        <v>53</v>
      </c>
      <c r="B106" s="9" t="s">
        <v>104</v>
      </c>
      <c r="C106" s="9" t="s">
        <v>27</v>
      </c>
      <c r="D106" s="9" t="s">
        <v>51</v>
      </c>
      <c r="E106" s="9" t="s">
        <v>52</v>
      </c>
      <c r="F106" s="19" t="s">
        <v>1146</v>
      </c>
      <c r="G106" s="9" t="s">
        <v>1138</v>
      </c>
    </row>
    <row r="107" customFormat="false" ht="15" hidden="false" customHeight="true" outlineLevel="0" collapsed="false">
      <c r="A107" s="9" t="s">
        <v>53</v>
      </c>
      <c r="B107" s="9" t="s">
        <v>104</v>
      </c>
      <c r="C107" s="9" t="s">
        <v>28</v>
      </c>
      <c r="D107" s="9"/>
      <c r="E107" s="9" t="s">
        <v>49</v>
      </c>
      <c r="F107" s="19" t="s">
        <v>1147</v>
      </c>
      <c r="G107" s="9" t="s">
        <v>1122</v>
      </c>
    </row>
    <row r="108" customFormat="false" ht="15" hidden="false" customHeight="true" outlineLevel="0" collapsed="false">
      <c r="A108" s="9" t="s">
        <v>53</v>
      </c>
      <c r="B108" s="9" t="s">
        <v>107</v>
      </c>
      <c r="C108" s="9" t="s">
        <v>28</v>
      </c>
      <c r="D108" s="9" t="s">
        <v>51</v>
      </c>
      <c r="E108" s="9" t="s">
        <v>52</v>
      </c>
      <c r="F108" s="19" t="s">
        <v>1148</v>
      </c>
      <c r="G108" s="9" t="s">
        <v>1122</v>
      </c>
    </row>
    <row r="109" customFormat="false" ht="15" hidden="false" customHeight="true" outlineLevel="0" collapsed="false">
      <c r="A109" s="9" t="s">
        <v>53</v>
      </c>
      <c r="B109" s="9" t="s">
        <v>111</v>
      </c>
      <c r="C109" s="9" t="s">
        <v>28</v>
      </c>
      <c r="D109" s="9" t="s">
        <v>52</v>
      </c>
      <c r="E109" s="9" t="s">
        <v>51</v>
      </c>
      <c r="F109" s="19" t="s">
        <v>1149</v>
      </c>
      <c r="G109" s="9" t="s">
        <v>1122</v>
      </c>
    </row>
    <row r="110" customFormat="false" ht="15" hidden="false" customHeight="true" outlineLevel="0" collapsed="false">
      <c r="A110" s="9" t="s">
        <v>53</v>
      </c>
      <c r="B110" s="9" t="s">
        <v>114</v>
      </c>
      <c r="C110" s="9" t="s">
        <v>28</v>
      </c>
      <c r="D110" s="9"/>
      <c r="E110" s="9" t="s">
        <v>49</v>
      </c>
      <c r="F110" s="19" t="s">
        <v>1150</v>
      </c>
      <c r="G110" s="9" t="s">
        <v>1122</v>
      </c>
    </row>
    <row r="111" customFormat="false" ht="15" hidden="false" customHeight="true" outlineLevel="0" collapsed="false">
      <c r="A111" s="9" t="s">
        <v>53</v>
      </c>
      <c r="B111" s="9" t="s">
        <v>117</v>
      </c>
      <c r="C111" s="9" t="s">
        <v>28</v>
      </c>
      <c r="D111" s="9" t="s">
        <v>51</v>
      </c>
      <c r="E111" s="9" t="s">
        <v>58</v>
      </c>
      <c r="F111" s="19" t="s">
        <v>1151</v>
      </c>
      <c r="G111" s="9" t="s">
        <v>1122</v>
      </c>
    </row>
    <row r="112" customFormat="false" ht="15" hidden="false" customHeight="true" outlineLevel="0" collapsed="false">
      <c r="A112" s="9" t="s">
        <v>53</v>
      </c>
      <c r="B112" s="9" t="s">
        <v>123</v>
      </c>
      <c r="C112" s="9" t="s">
        <v>28</v>
      </c>
      <c r="D112" s="9"/>
      <c r="E112" s="9" t="s">
        <v>52</v>
      </c>
      <c r="F112" s="19" t="s">
        <v>1152</v>
      </c>
      <c r="G112" s="9" t="s">
        <v>1122</v>
      </c>
    </row>
    <row r="113" customFormat="false" ht="15" hidden="false" customHeight="true" outlineLevel="0" collapsed="false">
      <c r="A113" s="9" t="s">
        <v>53</v>
      </c>
      <c r="B113" s="9" t="s">
        <v>129</v>
      </c>
      <c r="C113" s="9" t="s">
        <v>27</v>
      </c>
      <c r="D113" s="9"/>
      <c r="E113" s="9" t="s">
        <v>58</v>
      </c>
      <c r="F113" s="19" t="s">
        <v>1153</v>
      </c>
      <c r="G113" s="9" t="s">
        <v>1138</v>
      </c>
    </row>
    <row r="114" customFormat="false" ht="15" hidden="false" customHeight="true" outlineLevel="0" collapsed="false">
      <c r="A114" s="9" t="s">
        <v>53</v>
      </c>
      <c r="B114" s="9" t="s">
        <v>135</v>
      </c>
      <c r="C114" s="9" t="s">
        <v>27</v>
      </c>
      <c r="D114" s="9"/>
      <c r="E114" s="9" t="s">
        <v>51</v>
      </c>
      <c r="F114" s="19" t="s">
        <v>1154</v>
      </c>
      <c r="G114" s="9" t="s">
        <v>1138</v>
      </c>
    </row>
    <row r="115" customFormat="false" ht="15" hidden="false" customHeight="true" outlineLevel="0" collapsed="false">
      <c r="A115" s="9" t="s">
        <v>53</v>
      </c>
      <c r="B115" s="9" t="s">
        <v>135</v>
      </c>
      <c r="C115" s="9" t="s">
        <v>28</v>
      </c>
      <c r="D115" s="9"/>
      <c r="E115" s="9" t="s">
        <v>49</v>
      </c>
      <c r="F115" s="19" t="s">
        <v>1155</v>
      </c>
      <c r="G115" s="9" t="s">
        <v>1122</v>
      </c>
    </row>
    <row r="116" customFormat="false" ht="15" hidden="false" customHeight="true" outlineLevel="0" collapsed="false">
      <c r="A116" s="9" t="s">
        <v>53</v>
      </c>
      <c r="B116" s="9" t="s">
        <v>138</v>
      </c>
      <c r="C116" s="9" t="s">
        <v>27</v>
      </c>
      <c r="D116" s="9"/>
      <c r="E116" s="9" t="s">
        <v>49</v>
      </c>
      <c r="F116" s="19" t="s">
        <v>1156</v>
      </c>
      <c r="G116" s="9" t="s">
        <v>1138</v>
      </c>
    </row>
    <row r="117" customFormat="false" ht="15" hidden="false" customHeight="true" outlineLevel="0" collapsed="false">
      <c r="A117" s="9" t="s">
        <v>53</v>
      </c>
      <c r="B117" s="9" t="s">
        <v>141</v>
      </c>
      <c r="C117" s="9" t="s">
        <v>27</v>
      </c>
      <c r="D117" s="9"/>
      <c r="E117" s="9" t="s">
        <v>72</v>
      </c>
      <c r="F117" s="19" t="s">
        <v>1157</v>
      </c>
      <c r="G117" s="9" t="s">
        <v>1138</v>
      </c>
    </row>
    <row r="118" customFormat="false" ht="15" hidden="false" customHeight="true" outlineLevel="0" collapsed="false">
      <c r="A118" s="9" t="s">
        <v>53</v>
      </c>
      <c r="B118" s="9" t="s">
        <v>144</v>
      </c>
      <c r="C118" s="9" t="s">
        <v>27</v>
      </c>
      <c r="D118" s="9" t="s">
        <v>52</v>
      </c>
      <c r="E118" s="9" t="s">
        <v>49</v>
      </c>
      <c r="F118" s="19" t="s">
        <v>1158</v>
      </c>
      <c r="G118" s="9" t="s">
        <v>1138</v>
      </c>
    </row>
    <row r="119" customFormat="false" ht="15" hidden="false" customHeight="true" outlineLevel="0" collapsed="false">
      <c r="A119" s="9" t="s">
        <v>53</v>
      </c>
      <c r="B119" s="9" t="s">
        <v>147</v>
      </c>
      <c r="C119" s="9" t="s">
        <v>28</v>
      </c>
      <c r="D119" s="9"/>
      <c r="E119" s="9" t="s">
        <v>72</v>
      </c>
      <c r="F119" s="19" t="s">
        <v>1159</v>
      </c>
      <c r="G119" s="9" t="s">
        <v>1122</v>
      </c>
    </row>
    <row r="120" customFormat="false" ht="23.25" hidden="false" customHeight="true" outlineLevel="0" collapsed="false">
      <c r="A120" s="9" t="s">
        <v>53</v>
      </c>
      <c r="B120" s="9" t="s">
        <v>138</v>
      </c>
      <c r="C120" s="9" t="s">
        <v>29</v>
      </c>
      <c r="D120" s="9"/>
      <c r="E120" s="9" t="s">
        <v>52</v>
      </c>
      <c r="F120" s="19" t="s">
        <v>1160</v>
      </c>
      <c r="G120" s="9" t="s">
        <v>1161</v>
      </c>
    </row>
    <row r="121" customFormat="false" ht="23.25" hidden="false" customHeight="true" outlineLevel="0" collapsed="false">
      <c r="A121" s="9" t="s">
        <v>53</v>
      </c>
      <c r="B121" s="9" t="s">
        <v>135</v>
      </c>
      <c r="C121" s="9" t="s">
        <v>24</v>
      </c>
      <c r="D121" s="9"/>
      <c r="E121" s="9" t="s">
        <v>49</v>
      </c>
      <c r="F121" s="19" t="s">
        <v>1162</v>
      </c>
      <c r="G121" s="9" t="s">
        <v>1163</v>
      </c>
    </row>
    <row r="122" customFormat="false" ht="23.25" hidden="false" customHeight="true" outlineLevel="0" collapsed="false">
      <c r="A122" s="9" t="s">
        <v>53</v>
      </c>
      <c r="B122" s="9" t="s">
        <v>138</v>
      </c>
      <c r="C122" s="9" t="s">
        <v>29</v>
      </c>
      <c r="D122" s="9" t="s">
        <v>52</v>
      </c>
      <c r="E122" s="9" t="s">
        <v>52</v>
      </c>
      <c r="F122" s="19" t="s">
        <v>1164</v>
      </c>
      <c r="G122" s="9" t="s">
        <v>1165</v>
      </c>
    </row>
    <row r="123" customFormat="false" ht="15" hidden="false" customHeight="true" outlineLevel="0" collapsed="false">
      <c r="A123" s="9" t="s">
        <v>53</v>
      </c>
      <c r="B123" s="9" t="s">
        <v>55</v>
      </c>
      <c r="C123" s="9" t="s">
        <v>28</v>
      </c>
      <c r="D123" s="9" t="s">
        <v>49</v>
      </c>
      <c r="E123" s="9" t="s">
        <v>58</v>
      </c>
      <c r="F123" s="19" t="s">
        <v>1166</v>
      </c>
      <c r="G123" s="9" t="s">
        <v>1167</v>
      </c>
    </row>
    <row r="124" customFormat="false" ht="15" hidden="false" customHeight="true" outlineLevel="0" collapsed="false">
      <c r="A124" s="9" t="s">
        <v>53</v>
      </c>
      <c r="B124" s="9" t="s">
        <v>61</v>
      </c>
      <c r="C124" s="9" t="s">
        <v>28</v>
      </c>
      <c r="D124" s="9" t="s">
        <v>49</v>
      </c>
      <c r="E124" s="9" t="s">
        <v>58</v>
      </c>
      <c r="F124" s="19" t="s">
        <v>1168</v>
      </c>
      <c r="G124" s="9" t="s">
        <v>1167</v>
      </c>
    </row>
    <row r="125" customFormat="false" ht="15" hidden="false" customHeight="true" outlineLevel="0" collapsed="false">
      <c r="A125" s="9" t="s">
        <v>53</v>
      </c>
      <c r="B125" s="9" t="s">
        <v>64</v>
      </c>
      <c r="C125" s="9" t="s">
        <v>28</v>
      </c>
      <c r="D125" s="9" t="s">
        <v>49</v>
      </c>
      <c r="E125" s="9" t="s">
        <v>58</v>
      </c>
      <c r="F125" s="19" t="s">
        <v>1169</v>
      </c>
      <c r="G125" s="9" t="s">
        <v>1167</v>
      </c>
    </row>
    <row r="126" customFormat="false" ht="15" hidden="false" customHeight="true" outlineLevel="0" collapsed="false">
      <c r="A126" s="9" t="s">
        <v>53</v>
      </c>
      <c r="B126" s="9" t="s">
        <v>86</v>
      </c>
      <c r="C126" s="9" t="s">
        <v>28</v>
      </c>
      <c r="D126" s="9" t="s">
        <v>49</v>
      </c>
      <c r="E126" s="9" t="s">
        <v>58</v>
      </c>
      <c r="F126" s="19" t="s">
        <v>1170</v>
      </c>
      <c r="G126" s="9" t="s">
        <v>1167</v>
      </c>
    </row>
    <row r="127" customFormat="false" ht="15" hidden="false" customHeight="true" outlineLevel="0" collapsed="false">
      <c r="A127" s="9" t="s">
        <v>53</v>
      </c>
      <c r="B127" s="9" t="s">
        <v>83</v>
      </c>
      <c r="C127" s="9" t="s">
        <v>28</v>
      </c>
      <c r="D127" s="9" t="s">
        <v>49</v>
      </c>
      <c r="E127" s="9" t="s">
        <v>49</v>
      </c>
      <c r="F127" s="19" t="s">
        <v>1171</v>
      </c>
      <c r="G127" s="9" t="s">
        <v>1167</v>
      </c>
    </row>
    <row r="128" customFormat="false" ht="23.25" hidden="false" customHeight="true" outlineLevel="0" collapsed="false">
      <c r="A128" s="9" t="s">
        <v>53</v>
      </c>
      <c r="B128" s="9" t="s">
        <v>67</v>
      </c>
      <c r="C128" s="9" t="s">
        <v>28</v>
      </c>
      <c r="D128" s="9" t="s">
        <v>49</v>
      </c>
      <c r="E128" s="9" t="s">
        <v>58</v>
      </c>
      <c r="F128" s="19" t="s">
        <v>1172</v>
      </c>
      <c r="G128" s="9" t="s">
        <v>1167</v>
      </c>
    </row>
    <row r="129" customFormat="false" ht="15" hidden="false" customHeight="true" outlineLevel="0" collapsed="false">
      <c r="A129" s="9" t="s">
        <v>53</v>
      </c>
      <c r="B129" s="9" t="s">
        <v>147</v>
      </c>
      <c r="C129" s="9" t="s">
        <v>28</v>
      </c>
      <c r="D129" s="9" t="s">
        <v>72</v>
      </c>
      <c r="E129" s="9" t="s">
        <v>72</v>
      </c>
      <c r="F129" s="19" t="s">
        <v>1173</v>
      </c>
      <c r="G129" s="9" t="s">
        <v>1167</v>
      </c>
    </row>
    <row r="130" customFormat="false" ht="23.25" hidden="false" customHeight="true" outlineLevel="0" collapsed="false">
      <c r="A130" s="9" t="s">
        <v>53</v>
      </c>
      <c r="B130" s="9" t="s">
        <v>77</v>
      </c>
      <c r="C130" s="9" t="s">
        <v>28</v>
      </c>
      <c r="D130" s="9" t="s">
        <v>49</v>
      </c>
      <c r="E130" s="9" t="s">
        <v>58</v>
      </c>
      <c r="F130" s="19" t="s">
        <v>1174</v>
      </c>
      <c r="G130" s="9" t="s">
        <v>1167</v>
      </c>
    </row>
    <row r="131" customFormat="false" ht="23.25" hidden="false" customHeight="true" outlineLevel="0" collapsed="false">
      <c r="A131" s="9" t="s">
        <v>53</v>
      </c>
      <c r="B131" s="9" t="s">
        <v>74</v>
      </c>
      <c r="C131" s="9" t="s">
        <v>28</v>
      </c>
      <c r="D131" s="9" t="s">
        <v>49</v>
      </c>
      <c r="E131" s="9" t="s">
        <v>72</v>
      </c>
      <c r="F131" s="19" t="s">
        <v>1175</v>
      </c>
      <c r="G131" s="9" t="s">
        <v>1167</v>
      </c>
    </row>
    <row r="132" customFormat="false" ht="15" hidden="false" customHeight="true" outlineLevel="0" collapsed="false">
      <c r="A132" s="9" t="s">
        <v>53</v>
      </c>
      <c r="B132" s="9" t="s">
        <v>70</v>
      </c>
      <c r="C132" s="9" t="s">
        <v>28</v>
      </c>
      <c r="D132" s="9" t="s">
        <v>49</v>
      </c>
      <c r="E132" s="9" t="s">
        <v>58</v>
      </c>
      <c r="F132" s="19" t="s">
        <v>1176</v>
      </c>
      <c r="G132" s="9" t="s">
        <v>1167</v>
      </c>
    </row>
    <row r="133" customFormat="false" ht="23.25" hidden="false" customHeight="true" outlineLevel="0" collapsed="false">
      <c r="A133" s="9" t="s">
        <v>53</v>
      </c>
      <c r="B133" s="9" t="s">
        <v>135</v>
      </c>
      <c r="C133" s="9" t="s">
        <v>28</v>
      </c>
      <c r="D133" s="9" t="s">
        <v>49</v>
      </c>
      <c r="E133" s="9" t="s">
        <v>72</v>
      </c>
      <c r="F133" s="19" t="s">
        <v>1177</v>
      </c>
      <c r="G133" s="9" t="s">
        <v>1167</v>
      </c>
    </row>
    <row r="134" customFormat="false" ht="34.5" hidden="false" customHeight="true" outlineLevel="0" collapsed="false">
      <c r="A134" s="9" t="s">
        <v>53</v>
      </c>
      <c r="B134" s="9" t="s">
        <v>104</v>
      </c>
      <c r="C134" s="9" t="s">
        <v>28</v>
      </c>
      <c r="D134" s="9" t="s">
        <v>49</v>
      </c>
      <c r="E134" s="9" t="s">
        <v>52</v>
      </c>
      <c r="F134" s="19" t="s">
        <v>1178</v>
      </c>
      <c r="G134" s="9" t="s">
        <v>1167</v>
      </c>
    </row>
    <row r="135" customFormat="false" ht="23.25" hidden="false" customHeight="true" outlineLevel="0" collapsed="false">
      <c r="A135" s="9" t="s">
        <v>53</v>
      </c>
      <c r="B135" s="9" t="s">
        <v>117</v>
      </c>
      <c r="C135" s="9" t="s">
        <v>28</v>
      </c>
      <c r="D135" s="9" t="s">
        <v>58</v>
      </c>
      <c r="E135" s="9" t="s">
        <v>72</v>
      </c>
      <c r="F135" s="19" t="s">
        <v>1179</v>
      </c>
      <c r="G135" s="9" t="s">
        <v>1167</v>
      </c>
    </row>
    <row r="136" customFormat="false" ht="23.25" hidden="false" customHeight="true" outlineLevel="0" collapsed="false">
      <c r="A136" s="9" t="s">
        <v>53</v>
      </c>
      <c r="B136" s="9" t="s">
        <v>123</v>
      </c>
      <c r="C136" s="9" t="s">
        <v>28</v>
      </c>
      <c r="D136" s="9" t="s">
        <v>52</v>
      </c>
      <c r="E136" s="9" t="s">
        <v>58</v>
      </c>
      <c r="F136" s="19" t="s">
        <v>1180</v>
      </c>
      <c r="G136" s="9" t="s">
        <v>1167</v>
      </c>
    </row>
    <row r="137" customFormat="false" ht="15" hidden="false" customHeight="true" outlineLevel="0" collapsed="false">
      <c r="A137" s="9" t="s">
        <v>53</v>
      </c>
      <c r="B137" s="9" t="s">
        <v>70</v>
      </c>
      <c r="C137" s="9" t="s">
        <v>28</v>
      </c>
      <c r="D137" s="9" t="s">
        <v>58</v>
      </c>
      <c r="E137" s="9" t="s">
        <v>51</v>
      </c>
      <c r="F137" s="19" t="s">
        <v>1181</v>
      </c>
      <c r="G137" s="9" t="s">
        <v>1182</v>
      </c>
    </row>
    <row r="138" customFormat="false" ht="15" hidden="false" customHeight="true" outlineLevel="0" collapsed="false">
      <c r="A138" s="9" t="s">
        <v>53</v>
      </c>
      <c r="B138" s="9" t="s">
        <v>77</v>
      </c>
      <c r="C138" s="9" t="s">
        <v>28</v>
      </c>
      <c r="D138" s="9" t="s">
        <v>58</v>
      </c>
      <c r="E138" s="9" t="s">
        <v>58</v>
      </c>
      <c r="F138" s="19" t="s">
        <v>1183</v>
      </c>
      <c r="G138" s="9" t="s">
        <v>1182</v>
      </c>
    </row>
    <row r="139" customFormat="false" ht="15" hidden="false" customHeight="true" outlineLevel="0" collapsed="false">
      <c r="A139" s="9" t="s">
        <v>53</v>
      </c>
      <c r="B139" s="9" t="s">
        <v>1184</v>
      </c>
      <c r="C139" s="9" t="s">
        <v>28</v>
      </c>
      <c r="D139" s="9" t="s">
        <v>72</v>
      </c>
      <c r="E139" s="9" t="s">
        <v>72</v>
      </c>
      <c r="F139" s="19" t="s">
        <v>1185</v>
      </c>
      <c r="G139" s="9" t="s">
        <v>1101</v>
      </c>
    </row>
    <row r="140" customFormat="false" ht="15" hidden="false" customHeight="true" outlineLevel="0" collapsed="false">
      <c r="A140" s="9" t="s">
        <v>53</v>
      </c>
      <c r="B140" s="9" t="s">
        <v>83</v>
      </c>
      <c r="C140" s="9" t="s">
        <v>28</v>
      </c>
      <c r="D140" s="9" t="s">
        <v>49</v>
      </c>
      <c r="E140" s="9" t="s">
        <v>51</v>
      </c>
      <c r="F140" s="19" t="s">
        <v>1186</v>
      </c>
      <c r="G140" s="9" t="s">
        <v>1187</v>
      </c>
    </row>
    <row r="141" customFormat="false" ht="15" hidden="false" customHeight="true" outlineLevel="0" collapsed="false">
      <c r="A141" s="9" t="s">
        <v>53</v>
      </c>
      <c r="B141" s="9" t="s">
        <v>46</v>
      </c>
      <c r="C141" s="9" t="s">
        <v>28</v>
      </c>
      <c r="D141" s="9" t="s">
        <v>49</v>
      </c>
      <c r="E141" s="9" t="s">
        <v>51</v>
      </c>
      <c r="F141" s="19" t="s">
        <v>1188</v>
      </c>
      <c r="G141" s="9" t="s">
        <v>1187</v>
      </c>
    </row>
    <row r="142" customFormat="false" ht="15" hidden="false" customHeight="true" outlineLevel="0" collapsed="false">
      <c r="A142" s="9" t="s">
        <v>53</v>
      </c>
      <c r="B142" s="9" t="s">
        <v>114</v>
      </c>
      <c r="C142" s="9" t="s">
        <v>28</v>
      </c>
      <c r="D142" s="9" t="s">
        <v>49</v>
      </c>
      <c r="E142" s="9" t="s">
        <v>51</v>
      </c>
      <c r="F142" s="19" t="s">
        <v>1189</v>
      </c>
      <c r="G142" s="9" t="s">
        <v>1187</v>
      </c>
    </row>
    <row r="143" customFormat="false" ht="23.25" hidden="false" customHeight="true" outlineLevel="0" collapsed="false">
      <c r="A143" s="9" t="s">
        <v>53</v>
      </c>
      <c r="B143" s="9" t="s">
        <v>94</v>
      </c>
      <c r="C143" s="9" t="s">
        <v>28</v>
      </c>
      <c r="D143" s="9" t="s">
        <v>49</v>
      </c>
      <c r="E143" s="9" t="s">
        <v>58</v>
      </c>
      <c r="F143" s="19" t="s">
        <v>1190</v>
      </c>
      <c r="G143" s="9" t="s">
        <v>1187</v>
      </c>
    </row>
    <row r="144" customFormat="false" ht="23.25" hidden="false" customHeight="true" outlineLevel="0" collapsed="false">
      <c r="A144" s="9" t="s">
        <v>53</v>
      </c>
      <c r="B144" s="9" t="s">
        <v>1191</v>
      </c>
      <c r="C144" s="9" t="s">
        <v>1192</v>
      </c>
      <c r="D144" s="9" t="s">
        <v>1193</v>
      </c>
      <c r="E144" s="9" t="s">
        <v>1194</v>
      </c>
      <c r="F144" s="19" t="s">
        <v>1195</v>
      </c>
      <c r="G144" s="9" t="s">
        <v>1196</v>
      </c>
    </row>
    <row r="145" customFormat="false" ht="15" hidden="false" customHeight="true" outlineLevel="0" collapsed="false">
      <c r="A145" s="9" t="s">
        <v>53</v>
      </c>
      <c r="B145" s="9" t="s">
        <v>129</v>
      </c>
      <c r="C145" s="9" t="s">
        <v>25</v>
      </c>
      <c r="D145" s="9" t="s">
        <v>72</v>
      </c>
      <c r="E145" s="9" t="s">
        <v>72</v>
      </c>
      <c r="F145" s="19" t="s">
        <v>1197</v>
      </c>
      <c r="G145" s="9" t="s">
        <v>1198</v>
      </c>
    </row>
    <row r="146" customFormat="false" ht="23.25" hidden="false" customHeight="true" outlineLevel="0" collapsed="false">
      <c r="A146" s="9" t="s">
        <v>53</v>
      </c>
      <c r="B146" s="9" t="s">
        <v>129</v>
      </c>
      <c r="C146" s="9" t="s">
        <v>23</v>
      </c>
      <c r="D146" s="9" t="s">
        <v>51</v>
      </c>
      <c r="E146" s="9" t="s">
        <v>51</v>
      </c>
      <c r="F146" s="19" t="s">
        <v>1199</v>
      </c>
      <c r="G146" s="9" t="s">
        <v>1200</v>
      </c>
    </row>
    <row r="147" customFormat="false" ht="23.25" hidden="false" customHeight="true" outlineLevel="0" collapsed="false">
      <c r="A147" s="9" t="s">
        <v>53</v>
      </c>
      <c r="B147" s="9" t="s">
        <v>129</v>
      </c>
      <c r="C147" s="9" t="s">
        <v>24</v>
      </c>
      <c r="D147" s="9"/>
      <c r="E147" s="9"/>
      <c r="F147" s="19" t="s">
        <v>1201</v>
      </c>
      <c r="G147" s="9" t="s">
        <v>1202</v>
      </c>
    </row>
    <row r="148" customFormat="false" ht="15" hidden="false" customHeight="true" outlineLevel="0" collapsed="false">
      <c r="A148" s="9" t="s">
        <v>53</v>
      </c>
      <c r="B148" s="9" t="s">
        <v>129</v>
      </c>
      <c r="C148" s="9" t="s">
        <v>24</v>
      </c>
      <c r="D148" s="9"/>
      <c r="E148" s="9" t="s">
        <v>72</v>
      </c>
      <c r="F148" s="19" t="s">
        <v>1203</v>
      </c>
      <c r="G148" s="9" t="s">
        <v>1204</v>
      </c>
    </row>
    <row r="149" customFormat="false" ht="23.25" hidden="false" customHeight="true" outlineLevel="0" collapsed="false">
      <c r="A149" s="9" t="s">
        <v>53</v>
      </c>
      <c r="B149" s="9" t="s">
        <v>129</v>
      </c>
      <c r="C149" s="9" t="s">
        <v>25</v>
      </c>
      <c r="D149" s="9" t="s">
        <v>72</v>
      </c>
      <c r="E149" s="9" t="s">
        <v>72</v>
      </c>
      <c r="F149" s="19" t="s">
        <v>1205</v>
      </c>
      <c r="G149" s="9" t="s">
        <v>1206</v>
      </c>
    </row>
    <row r="150" customFormat="false" ht="34.5" hidden="false" customHeight="true" outlineLevel="0" collapsed="false">
      <c r="A150" s="9" t="s">
        <v>53</v>
      </c>
      <c r="B150" s="9" t="s">
        <v>138</v>
      </c>
      <c r="C150" s="9" t="s">
        <v>24</v>
      </c>
      <c r="D150" s="9" t="s">
        <v>58</v>
      </c>
      <c r="E150" s="9" t="s">
        <v>49</v>
      </c>
      <c r="F150" s="19" t="s">
        <v>1207</v>
      </c>
      <c r="G150" s="9" t="s">
        <v>1208</v>
      </c>
    </row>
    <row r="151" customFormat="false" ht="34.5" hidden="false" customHeight="true" outlineLevel="0" collapsed="false">
      <c r="A151" s="9" t="s">
        <v>53</v>
      </c>
      <c r="B151" s="9" t="s">
        <v>138</v>
      </c>
      <c r="C151" s="9" t="s">
        <v>25</v>
      </c>
      <c r="D151" s="9"/>
      <c r="E151" s="9"/>
      <c r="F151" s="19" t="s">
        <v>1209</v>
      </c>
      <c r="G151" s="9" t="s">
        <v>1206</v>
      </c>
    </row>
    <row r="152" customFormat="false" ht="23.25" hidden="false" customHeight="true" outlineLevel="0" collapsed="false">
      <c r="A152" s="9" t="s">
        <v>53</v>
      </c>
      <c r="B152" s="9" t="s">
        <v>1191</v>
      </c>
      <c r="C152" s="9" t="s">
        <v>1210</v>
      </c>
      <c r="D152" s="9"/>
      <c r="E152" s="9"/>
      <c r="F152" s="19" t="s">
        <v>1211</v>
      </c>
      <c r="G152" s="9" t="s">
        <v>1212</v>
      </c>
    </row>
    <row r="153" customFormat="false" ht="23.25" hidden="false" customHeight="true" outlineLevel="0" collapsed="false">
      <c r="A153" s="9" t="s">
        <v>53</v>
      </c>
      <c r="B153" s="9" t="s">
        <v>1191</v>
      </c>
      <c r="C153" s="9" t="s">
        <v>1213</v>
      </c>
      <c r="D153" s="9"/>
      <c r="E153" s="9"/>
      <c r="F153" s="19" t="s">
        <v>1214</v>
      </c>
      <c r="G153" s="9" t="s">
        <v>1215</v>
      </c>
    </row>
    <row r="154" customFormat="false" ht="23.25" hidden="false" customHeight="true" outlineLevel="0" collapsed="false">
      <c r="A154" s="9" t="s">
        <v>53</v>
      </c>
      <c r="B154" s="9" t="s">
        <v>821</v>
      </c>
      <c r="C154" s="9" t="s">
        <v>33</v>
      </c>
      <c r="D154" s="9"/>
      <c r="E154" s="9" t="s">
        <v>72</v>
      </c>
      <c r="F154" s="19" t="s">
        <v>1216</v>
      </c>
      <c r="G154" s="9" t="s">
        <v>1217</v>
      </c>
    </row>
    <row r="155" customFormat="false" ht="23.25" hidden="false" customHeight="true" outlineLevel="0" collapsed="false">
      <c r="A155" s="9" t="s">
        <v>53</v>
      </c>
      <c r="B155" s="9" t="s">
        <v>1218</v>
      </c>
      <c r="C155" s="9" t="s">
        <v>35</v>
      </c>
      <c r="D155" s="9"/>
      <c r="E155" s="9" t="s">
        <v>49</v>
      </c>
      <c r="F155" s="19" t="s">
        <v>1219</v>
      </c>
      <c r="G155" s="9" t="s">
        <v>1215</v>
      </c>
    </row>
    <row r="156" customFormat="false" ht="23.25" hidden="false" customHeight="true" outlineLevel="0" collapsed="false">
      <c r="A156" s="9" t="s">
        <v>53</v>
      </c>
      <c r="B156" s="9" t="s">
        <v>1191</v>
      </c>
      <c r="C156" s="9" t="s">
        <v>1220</v>
      </c>
      <c r="D156" s="9"/>
      <c r="E156" s="9"/>
      <c r="F156" s="19" t="s">
        <v>1221</v>
      </c>
      <c r="G156" s="9" t="s">
        <v>1222</v>
      </c>
    </row>
    <row r="157" customFormat="false" ht="23.25" hidden="false" customHeight="true" outlineLevel="0" collapsed="false">
      <c r="A157" s="9" t="s">
        <v>53</v>
      </c>
      <c r="B157" s="9" t="s">
        <v>120</v>
      </c>
      <c r="C157" s="9" t="s">
        <v>1223</v>
      </c>
      <c r="D157" s="9"/>
      <c r="E157" s="9" t="s">
        <v>1224</v>
      </c>
      <c r="F157" s="19" t="s">
        <v>1225</v>
      </c>
      <c r="G157" s="9" t="s">
        <v>1226</v>
      </c>
    </row>
    <row r="158" customFormat="false" ht="23.25" hidden="false" customHeight="true" outlineLevel="0" collapsed="false">
      <c r="A158" s="9" t="s">
        <v>53</v>
      </c>
      <c r="B158" s="9" t="s">
        <v>138</v>
      </c>
      <c r="C158" s="9" t="s">
        <v>25</v>
      </c>
      <c r="D158" s="9"/>
      <c r="E158" s="9" t="s">
        <v>51</v>
      </c>
      <c r="F158" s="19" t="s">
        <v>1227</v>
      </c>
      <c r="G158" s="9" t="s">
        <v>1228</v>
      </c>
    </row>
    <row r="159" customFormat="false" ht="15" hidden="false" customHeight="true" outlineLevel="0" collapsed="false">
      <c r="A159" s="9" t="s">
        <v>53</v>
      </c>
      <c r="B159" s="9" t="s">
        <v>138</v>
      </c>
      <c r="C159" s="9" t="s">
        <v>26</v>
      </c>
      <c r="D159" s="9"/>
      <c r="E159" s="9" t="s">
        <v>72</v>
      </c>
      <c r="F159" s="19" t="s">
        <v>1229</v>
      </c>
      <c r="G159" s="9" t="s">
        <v>1230</v>
      </c>
    </row>
    <row r="160" customFormat="false" ht="15" hidden="false" customHeight="true" outlineLevel="0" collapsed="false">
      <c r="A160" s="9" t="s">
        <v>53</v>
      </c>
      <c r="B160" s="9" t="s">
        <v>138</v>
      </c>
      <c r="C160" s="9" t="s">
        <v>31</v>
      </c>
      <c r="D160" s="9"/>
      <c r="E160" s="9" t="s">
        <v>51</v>
      </c>
      <c r="F160" s="19" t="s">
        <v>1231</v>
      </c>
      <c r="G160" s="9" t="s">
        <v>1232</v>
      </c>
    </row>
    <row r="161" customFormat="false" ht="15" hidden="false" customHeight="true" outlineLevel="0" collapsed="false">
      <c r="A161" s="9" t="s">
        <v>53</v>
      </c>
      <c r="B161" s="9" t="s">
        <v>138</v>
      </c>
      <c r="C161" s="9" t="s">
        <v>33</v>
      </c>
      <c r="D161" s="9"/>
      <c r="E161" s="9" t="s">
        <v>49</v>
      </c>
      <c r="F161" s="19" t="s">
        <v>1233</v>
      </c>
      <c r="G161" s="9" t="s">
        <v>1234</v>
      </c>
    </row>
    <row r="162" customFormat="false" ht="15" hidden="false" customHeight="true" outlineLevel="0" collapsed="false">
      <c r="A162" s="9" t="s">
        <v>53</v>
      </c>
      <c r="B162" s="9" t="s">
        <v>138</v>
      </c>
      <c r="C162" s="9" t="s">
        <v>34</v>
      </c>
      <c r="D162" s="9"/>
      <c r="E162" s="9" t="s">
        <v>50</v>
      </c>
      <c r="F162" s="19" t="s">
        <v>1235</v>
      </c>
      <c r="G162" s="9" t="s">
        <v>1236</v>
      </c>
    </row>
    <row r="163" customFormat="false" ht="15" hidden="false" customHeight="true" outlineLevel="0" collapsed="false">
      <c r="A163" s="9" t="s">
        <v>53</v>
      </c>
      <c r="B163" s="9" t="s">
        <v>64</v>
      </c>
      <c r="C163" s="9" t="s">
        <v>34</v>
      </c>
      <c r="D163" s="9"/>
      <c r="E163" s="9" t="s">
        <v>49</v>
      </c>
      <c r="F163" s="19" t="s">
        <v>1237</v>
      </c>
      <c r="G163" s="9" t="s">
        <v>1226</v>
      </c>
    </row>
    <row r="164" customFormat="false" ht="15" hidden="false" customHeight="true" outlineLevel="0" collapsed="false">
      <c r="A164" s="9" t="s">
        <v>53</v>
      </c>
      <c r="B164" s="9" t="s">
        <v>86</v>
      </c>
      <c r="C164" s="9" t="s">
        <v>34</v>
      </c>
      <c r="D164" s="9"/>
      <c r="E164" s="9" t="s">
        <v>52</v>
      </c>
      <c r="F164" s="19" t="s">
        <v>1238</v>
      </c>
      <c r="G164" s="9" t="s">
        <v>1226</v>
      </c>
    </row>
    <row r="165" customFormat="false" ht="15" hidden="false" customHeight="true" outlineLevel="0" collapsed="false">
      <c r="A165" s="9" t="s">
        <v>53</v>
      </c>
      <c r="B165" s="9" t="s">
        <v>141</v>
      </c>
      <c r="C165" s="9" t="s">
        <v>34</v>
      </c>
      <c r="D165" s="9"/>
      <c r="E165" s="9" t="s">
        <v>52</v>
      </c>
      <c r="F165" s="19" t="s">
        <v>1239</v>
      </c>
      <c r="G165" s="9" t="s">
        <v>1226</v>
      </c>
    </row>
    <row r="166" customFormat="false" ht="23.25" hidden="false" customHeight="true" outlineLevel="0" collapsed="false">
      <c r="A166" s="9" t="s">
        <v>53</v>
      </c>
      <c r="B166" s="9" t="s">
        <v>147</v>
      </c>
      <c r="C166" s="9" t="s">
        <v>34</v>
      </c>
      <c r="D166" s="9"/>
      <c r="E166" s="9" t="s">
        <v>49</v>
      </c>
      <c r="F166" s="19" t="s">
        <v>1240</v>
      </c>
      <c r="G166" s="9" t="s">
        <v>1226</v>
      </c>
    </row>
    <row r="167" customFormat="false" ht="23.25" hidden="false" customHeight="true" outlineLevel="0" collapsed="false">
      <c r="A167" s="9" t="s">
        <v>53</v>
      </c>
      <c r="B167" s="9" t="s">
        <v>114</v>
      </c>
      <c r="C167" s="9" t="s">
        <v>30</v>
      </c>
      <c r="D167" s="9"/>
      <c r="E167" s="9" t="s">
        <v>51</v>
      </c>
      <c r="F167" s="19" t="s">
        <v>1241</v>
      </c>
      <c r="G167" s="9" t="s">
        <v>1242</v>
      </c>
    </row>
    <row r="168" customFormat="false" ht="15" hidden="false" customHeight="true" outlineLevel="0" collapsed="false">
      <c r="A168" s="9" t="s">
        <v>53</v>
      </c>
      <c r="B168" s="9" t="s">
        <v>135</v>
      </c>
      <c r="C168" s="9" t="s">
        <v>24</v>
      </c>
      <c r="D168" s="9" t="s">
        <v>49</v>
      </c>
      <c r="E168" s="9" t="s">
        <v>49</v>
      </c>
      <c r="F168" s="19" t="s">
        <v>1243</v>
      </c>
      <c r="G168" s="9" t="s">
        <v>1244</v>
      </c>
    </row>
    <row r="169" customFormat="false" ht="15" hidden="false" customHeight="true" outlineLevel="0" collapsed="false">
      <c r="A169" s="9" t="s">
        <v>53</v>
      </c>
      <c r="B169" s="9" t="s">
        <v>1191</v>
      </c>
      <c r="C169" s="9" t="s">
        <v>30</v>
      </c>
      <c r="D169" s="9"/>
      <c r="E169" s="9"/>
      <c r="F169" s="19" t="s">
        <v>1245</v>
      </c>
      <c r="G169" s="9" t="s">
        <v>1246</v>
      </c>
    </row>
    <row r="170" customFormat="false" ht="15" hidden="false" customHeight="true" outlineLevel="0" collapsed="false">
      <c r="A170" s="9" t="s">
        <v>53</v>
      </c>
      <c r="B170" s="9" t="s">
        <v>77</v>
      </c>
      <c r="C170" s="9" t="s">
        <v>30</v>
      </c>
      <c r="D170" s="9" t="s">
        <v>51</v>
      </c>
      <c r="E170" s="9" t="s">
        <v>52</v>
      </c>
      <c r="F170" s="19" t="s">
        <v>1247</v>
      </c>
      <c r="G170" s="9" t="s">
        <v>1248</v>
      </c>
    </row>
    <row r="171" customFormat="false" ht="15" hidden="false" customHeight="true" outlineLevel="0" collapsed="false">
      <c r="A171" s="9" t="s">
        <v>53</v>
      </c>
      <c r="B171" s="9" t="s">
        <v>1249</v>
      </c>
      <c r="C171" s="9" t="s">
        <v>30</v>
      </c>
      <c r="D171" s="9" t="s">
        <v>1250</v>
      </c>
      <c r="E171" s="9" t="s">
        <v>1250</v>
      </c>
      <c r="F171" s="19" t="s">
        <v>1251</v>
      </c>
      <c r="G171" s="9" t="s">
        <v>1217</v>
      </c>
    </row>
    <row r="172" customFormat="false" ht="34.5" hidden="false" customHeight="true" outlineLevel="0" collapsed="false">
      <c r="A172" s="9" t="s">
        <v>53</v>
      </c>
      <c r="B172" s="9" t="s">
        <v>1252</v>
      </c>
      <c r="C172" s="9" t="s">
        <v>1253</v>
      </c>
      <c r="D172" s="9"/>
      <c r="E172" s="9"/>
      <c r="F172" s="19" t="s">
        <v>1254</v>
      </c>
      <c r="G172" s="9" t="s">
        <v>1255</v>
      </c>
    </row>
    <row r="173" customFormat="false" ht="15" hidden="false" customHeight="true" outlineLevel="0" collapsed="false">
      <c r="A173" s="9" t="s">
        <v>53</v>
      </c>
      <c r="B173" s="9" t="s">
        <v>150</v>
      </c>
      <c r="C173" s="9" t="s">
        <v>23</v>
      </c>
      <c r="D173" s="9"/>
      <c r="E173" s="9" t="s">
        <v>52</v>
      </c>
      <c r="F173" s="19" t="s">
        <v>1256</v>
      </c>
      <c r="G173" s="9" t="s">
        <v>1257</v>
      </c>
    </row>
    <row r="174" customFormat="false" ht="15" hidden="false" customHeight="true" outlineLevel="0" collapsed="false">
      <c r="A174" s="9" t="s">
        <v>53</v>
      </c>
      <c r="B174" s="9" t="s">
        <v>150</v>
      </c>
      <c r="C174" s="9" t="s">
        <v>24</v>
      </c>
      <c r="D174" s="9"/>
      <c r="E174" s="9" t="s">
        <v>52</v>
      </c>
      <c r="F174" s="19" t="s">
        <v>1258</v>
      </c>
      <c r="G174" s="9" t="s">
        <v>1259</v>
      </c>
    </row>
    <row r="175" customFormat="false" ht="23.25" hidden="false" customHeight="true" outlineLevel="0" collapsed="false">
      <c r="A175" s="9" t="s">
        <v>53</v>
      </c>
      <c r="B175" s="9" t="s">
        <v>150</v>
      </c>
      <c r="C175" s="9" t="s">
        <v>25</v>
      </c>
      <c r="D175" s="9"/>
      <c r="E175" s="9" t="s">
        <v>51</v>
      </c>
      <c r="F175" s="19" t="s">
        <v>1260</v>
      </c>
      <c r="G175" s="9" t="s">
        <v>1261</v>
      </c>
    </row>
    <row r="176" customFormat="false" ht="15" hidden="false" customHeight="true" outlineLevel="0" collapsed="false">
      <c r="A176" s="9" t="s">
        <v>53</v>
      </c>
      <c r="B176" s="9" t="s">
        <v>150</v>
      </c>
      <c r="C176" s="9" t="s">
        <v>26</v>
      </c>
      <c r="D176" s="9"/>
      <c r="E176" s="9" t="s">
        <v>52</v>
      </c>
      <c r="F176" s="19" t="s">
        <v>1262</v>
      </c>
      <c r="G176" s="9" t="s">
        <v>1101</v>
      </c>
    </row>
    <row r="177" customFormat="false" ht="15" hidden="false" customHeight="true" outlineLevel="0" collapsed="false">
      <c r="A177" s="9" t="s">
        <v>53</v>
      </c>
      <c r="B177" s="9" t="s">
        <v>150</v>
      </c>
      <c r="C177" s="9" t="s">
        <v>27</v>
      </c>
      <c r="D177" s="9"/>
      <c r="E177" s="9" t="s">
        <v>49</v>
      </c>
      <c r="F177" s="19" t="s">
        <v>1263</v>
      </c>
      <c r="G177" s="9" t="s">
        <v>1138</v>
      </c>
    </row>
    <row r="178" customFormat="false" ht="15" hidden="false" customHeight="true" outlineLevel="0" collapsed="false">
      <c r="A178" s="9" t="s">
        <v>53</v>
      </c>
      <c r="B178" s="9" t="s">
        <v>150</v>
      </c>
      <c r="C178" s="9" t="s">
        <v>28</v>
      </c>
      <c r="D178" s="9"/>
      <c r="E178" s="9" t="s">
        <v>58</v>
      </c>
      <c r="F178" s="19" t="s">
        <v>1264</v>
      </c>
      <c r="G178" s="9" t="s">
        <v>1114</v>
      </c>
    </row>
    <row r="179" customFormat="false" ht="15" hidden="false" customHeight="true" outlineLevel="0" collapsed="false">
      <c r="A179" s="9" t="s">
        <v>53</v>
      </c>
      <c r="B179" s="9" t="s">
        <v>150</v>
      </c>
      <c r="C179" s="9" t="s">
        <v>29</v>
      </c>
      <c r="D179" s="9"/>
      <c r="E179" s="9" t="s">
        <v>51</v>
      </c>
      <c r="F179" s="19" t="s">
        <v>1265</v>
      </c>
      <c r="G179" s="9" t="s">
        <v>1266</v>
      </c>
    </row>
    <row r="180" customFormat="false" ht="15" hidden="false" customHeight="true" outlineLevel="0" collapsed="false">
      <c r="A180" s="9" t="s">
        <v>53</v>
      </c>
      <c r="B180" s="9" t="s">
        <v>150</v>
      </c>
      <c r="C180" s="9" t="s">
        <v>30</v>
      </c>
      <c r="D180" s="9"/>
      <c r="E180" s="9" t="s">
        <v>49</v>
      </c>
      <c r="F180" s="19" t="s">
        <v>1267</v>
      </c>
      <c r="G180" s="9" t="s">
        <v>1268</v>
      </c>
    </row>
    <row r="181" customFormat="false" ht="23.25" hidden="false" customHeight="true" outlineLevel="0" collapsed="false">
      <c r="A181" s="9" t="s">
        <v>53</v>
      </c>
      <c r="B181" s="9" t="s">
        <v>150</v>
      </c>
      <c r="C181" s="9" t="s">
        <v>31</v>
      </c>
      <c r="D181" s="9"/>
      <c r="E181" s="9" t="s">
        <v>49</v>
      </c>
      <c r="F181" s="19" t="s">
        <v>1269</v>
      </c>
      <c r="G181" s="9" t="s">
        <v>1270</v>
      </c>
    </row>
    <row r="182" customFormat="false" ht="15" hidden="false" customHeight="true" outlineLevel="0" collapsed="false">
      <c r="A182" s="9" t="s">
        <v>53</v>
      </c>
      <c r="B182" s="9" t="s">
        <v>150</v>
      </c>
      <c r="C182" s="9" t="s">
        <v>33</v>
      </c>
      <c r="D182" s="9"/>
      <c r="E182" s="9" t="s">
        <v>49</v>
      </c>
      <c r="F182" s="19" t="s">
        <v>1271</v>
      </c>
      <c r="G182" s="9" t="s">
        <v>1101</v>
      </c>
    </row>
    <row r="183" customFormat="false" ht="15" hidden="false" customHeight="true" outlineLevel="0" collapsed="false">
      <c r="A183" s="9" t="s">
        <v>53</v>
      </c>
      <c r="B183" s="9" t="s">
        <v>150</v>
      </c>
      <c r="C183" s="9" t="s">
        <v>34</v>
      </c>
      <c r="D183" s="9"/>
      <c r="E183" s="9" t="s">
        <v>49</v>
      </c>
      <c r="F183" s="19" t="s">
        <v>1272</v>
      </c>
      <c r="G183" s="9" t="s">
        <v>1261</v>
      </c>
    </row>
    <row r="184" customFormat="false" ht="15" hidden="false" customHeight="true" outlineLevel="0" collapsed="false">
      <c r="A184" s="9" t="s">
        <v>53</v>
      </c>
      <c r="B184" s="9" t="s">
        <v>150</v>
      </c>
      <c r="C184" s="9" t="s">
        <v>35</v>
      </c>
      <c r="D184" s="9"/>
      <c r="E184" s="9" t="s">
        <v>49</v>
      </c>
      <c r="F184" s="19" t="s">
        <v>1273</v>
      </c>
      <c r="G184" s="9" t="s">
        <v>1274</v>
      </c>
    </row>
    <row r="185" customFormat="false" ht="15" hidden="false" customHeight="true" outlineLevel="0" collapsed="false">
      <c r="A185" s="9" t="s">
        <v>53</v>
      </c>
      <c r="B185" s="9" t="s">
        <v>150</v>
      </c>
      <c r="C185" s="9" t="s">
        <v>36</v>
      </c>
      <c r="D185" s="9"/>
      <c r="E185" s="9" t="s">
        <v>51</v>
      </c>
      <c r="F185" s="19" t="s">
        <v>1275</v>
      </c>
      <c r="G185" s="9" t="s">
        <v>1104</v>
      </c>
    </row>
    <row r="186" customFormat="false" ht="15" hidden="false" customHeight="true" outlineLevel="0" collapsed="false">
      <c r="A186" s="9" t="s">
        <v>53</v>
      </c>
      <c r="B186" s="9" t="s">
        <v>150</v>
      </c>
      <c r="C186" s="9" t="s">
        <v>37</v>
      </c>
      <c r="D186" s="9"/>
      <c r="E186" s="9" t="s">
        <v>49</v>
      </c>
      <c r="F186" s="19" t="s">
        <v>1276</v>
      </c>
      <c r="G186" s="9" t="s">
        <v>1105</v>
      </c>
    </row>
    <row r="187" customFormat="false" ht="15" hidden="false" customHeight="true" outlineLevel="0" collapsed="false">
      <c r="A187" s="9" t="s">
        <v>53</v>
      </c>
      <c r="B187" s="9" t="s">
        <v>153</v>
      </c>
      <c r="C187" s="9" t="s">
        <v>23</v>
      </c>
      <c r="D187" s="9"/>
      <c r="E187" s="9" t="s">
        <v>49</v>
      </c>
      <c r="F187" s="19" t="s">
        <v>1277</v>
      </c>
      <c r="G187" s="9" t="s">
        <v>1266</v>
      </c>
    </row>
    <row r="188" customFormat="false" ht="15" hidden="false" customHeight="true" outlineLevel="0" collapsed="false">
      <c r="A188" s="9" t="s">
        <v>53</v>
      </c>
      <c r="B188" s="9" t="s">
        <v>153</v>
      </c>
      <c r="C188" s="9" t="s">
        <v>24</v>
      </c>
      <c r="D188" s="9"/>
      <c r="E188" s="9" t="s">
        <v>49</v>
      </c>
      <c r="F188" s="19" t="s">
        <v>1278</v>
      </c>
      <c r="G188" s="9" t="s">
        <v>1105</v>
      </c>
    </row>
    <row r="189" customFormat="false" ht="23.25" hidden="false" customHeight="true" outlineLevel="0" collapsed="false">
      <c r="A189" s="9" t="s">
        <v>53</v>
      </c>
      <c r="B189" s="9" t="s">
        <v>153</v>
      </c>
      <c r="C189" s="9" t="s">
        <v>25</v>
      </c>
      <c r="D189" s="9"/>
      <c r="E189" s="9" t="s">
        <v>58</v>
      </c>
      <c r="F189" s="19" t="s">
        <v>1279</v>
      </c>
      <c r="G189" s="9" t="s">
        <v>1261</v>
      </c>
    </row>
    <row r="190" customFormat="false" ht="15" hidden="false" customHeight="true" outlineLevel="0" collapsed="false">
      <c r="A190" s="9" t="s">
        <v>53</v>
      </c>
      <c r="B190" s="9" t="s">
        <v>153</v>
      </c>
      <c r="C190" s="9" t="s">
        <v>26</v>
      </c>
      <c r="D190" s="9"/>
      <c r="E190" s="9" t="s">
        <v>72</v>
      </c>
      <c r="F190" s="19" t="s">
        <v>1280</v>
      </c>
      <c r="G190" s="9" t="s">
        <v>1101</v>
      </c>
    </row>
    <row r="191" customFormat="false" ht="15" hidden="false" customHeight="true" outlineLevel="0" collapsed="false">
      <c r="A191" s="9" t="s">
        <v>53</v>
      </c>
      <c r="B191" s="9" t="s">
        <v>153</v>
      </c>
      <c r="C191" s="9" t="s">
        <v>27</v>
      </c>
      <c r="D191" s="9"/>
      <c r="E191" s="9" t="s">
        <v>49</v>
      </c>
      <c r="F191" s="19" t="s">
        <v>1281</v>
      </c>
      <c r="G191" s="9" t="s">
        <v>1138</v>
      </c>
    </row>
    <row r="192" customFormat="false" ht="15" hidden="false" customHeight="true" outlineLevel="0" collapsed="false">
      <c r="A192" s="9" t="s">
        <v>53</v>
      </c>
      <c r="B192" s="9" t="s">
        <v>153</v>
      </c>
      <c r="C192" s="9" t="s">
        <v>28</v>
      </c>
      <c r="D192" s="9"/>
      <c r="E192" s="9" t="s">
        <v>72</v>
      </c>
      <c r="F192" s="19" t="s">
        <v>1282</v>
      </c>
      <c r="G192" s="9" t="s">
        <v>1114</v>
      </c>
    </row>
    <row r="193" customFormat="false" ht="15" hidden="false" customHeight="true" outlineLevel="0" collapsed="false">
      <c r="A193" s="9" t="s">
        <v>53</v>
      </c>
      <c r="B193" s="9" t="s">
        <v>153</v>
      </c>
      <c r="C193" s="9" t="s">
        <v>29</v>
      </c>
      <c r="D193" s="9"/>
      <c r="E193" s="9" t="s">
        <v>51</v>
      </c>
      <c r="F193" s="19" t="s">
        <v>1283</v>
      </c>
      <c r="G193" s="9" t="s">
        <v>1266</v>
      </c>
    </row>
    <row r="194" customFormat="false" ht="15" hidden="false" customHeight="true" outlineLevel="0" collapsed="false">
      <c r="A194" s="9" t="s">
        <v>53</v>
      </c>
      <c r="B194" s="9" t="s">
        <v>153</v>
      </c>
      <c r="C194" s="9" t="s">
        <v>30</v>
      </c>
      <c r="D194" s="9"/>
      <c r="E194" s="9" t="s">
        <v>49</v>
      </c>
      <c r="F194" s="19" t="s">
        <v>1284</v>
      </c>
      <c r="G194" s="9" t="s">
        <v>1268</v>
      </c>
    </row>
    <row r="195" customFormat="false" ht="15" hidden="false" customHeight="true" outlineLevel="0" collapsed="false">
      <c r="A195" s="9" t="s">
        <v>53</v>
      </c>
      <c r="B195" s="9" t="s">
        <v>153</v>
      </c>
      <c r="C195" s="9" t="s">
        <v>31</v>
      </c>
      <c r="D195" s="9"/>
      <c r="E195" s="9" t="s">
        <v>49</v>
      </c>
      <c r="F195" s="19" t="s">
        <v>1285</v>
      </c>
      <c r="G195" s="9" t="s">
        <v>1286</v>
      </c>
    </row>
    <row r="196" customFormat="false" ht="15" hidden="false" customHeight="true" outlineLevel="0" collapsed="false">
      <c r="A196" s="9" t="s">
        <v>53</v>
      </c>
      <c r="B196" s="9" t="s">
        <v>153</v>
      </c>
      <c r="C196" s="9" t="s">
        <v>33</v>
      </c>
      <c r="D196" s="9"/>
      <c r="E196" s="9" t="s">
        <v>49</v>
      </c>
      <c r="F196" s="19" t="s">
        <v>1287</v>
      </c>
      <c r="G196" s="9" t="s">
        <v>1101</v>
      </c>
    </row>
    <row r="197" customFormat="false" ht="15" hidden="false" customHeight="true" outlineLevel="0" collapsed="false">
      <c r="A197" s="9" t="s">
        <v>53</v>
      </c>
      <c r="B197" s="9" t="s">
        <v>153</v>
      </c>
      <c r="C197" s="9" t="s">
        <v>34</v>
      </c>
      <c r="D197" s="9"/>
      <c r="E197" s="9" t="s">
        <v>49</v>
      </c>
      <c r="F197" s="19" t="s">
        <v>1288</v>
      </c>
      <c r="G197" s="9" t="s">
        <v>1261</v>
      </c>
    </row>
    <row r="198" customFormat="false" ht="15" hidden="false" customHeight="true" outlineLevel="0" collapsed="false">
      <c r="A198" s="9" t="s">
        <v>53</v>
      </c>
      <c r="B198" s="9" t="s">
        <v>153</v>
      </c>
      <c r="C198" s="9" t="s">
        <v>35</v>
      </c>
      <c r="D198" s="9"/>
      <c r="E198" s="9"/>
      <c r="F198" s="19" t="s">
        <v>1289</v>
      </c>
      <c r="G198" s="9" t="s">
        <v>1290</v>
      </c>
    </row>
    <row r="199" customFormat="false" ht="15" hidden="false" customHeight="true" outlineLevel="0" collapsed="false">
      <c r="A199" s="9" t="s">
        <v>53</v>
      </c>
      <c r="B199" s="9" t="s">
        <v>153</v>
      </c>
      <c r="C199" s="9" t="s">
        <v>36</v>
      </c>
      <c r="D199" s="9"/>
      <c r="E199" s="9" t="s">
        <v>51</v>
      </c>
      <c r="F199" s="19" t="s">
        <v>1291</v>
      </c>
      <c r="G199" s="9" t="s">
        <v>1104</v>
      </c>
    </row>
    <row r="200" customFormat="false" ht="15" hidden="false" customHeight="true" outlineLevel="0" collapsed="false">
      <c r="A200" s="9" t="s">
        <v>53</v>
      </c>
      <c r="B200" s="9" t="s">
        <v>153</v>
      </c>
      <c r="C200" s="9" t="s">
        <v>37</v>
      </c>
      <c r="D200" s="9"/>
      <c r="E200" s="9" t="s">
        <v>52</v>
      </c>
      <c r="F200" s="19" t="s">
        <v>1292</v>
      </c>
      <c r="G200" s="9" t="s">
        <v>1105</v>
      </c>
    </row>
    <row r="201" customFormat="false" ht="15" hidden="false" customHeight="true" outlineLevel="0" collapsed="false">
      <c r="A201" s="9" t="s">
        <v>53</v>
      </c>
      <c r="B201" s="9" t="s">
        <v>156</v>
      </c>
      <c r="C201" s="9" t="s">
        <v>23</v>
      </c>
      <c r="D201" s="9"/>
      <c r="E201" s="9" t="s">
        <v>52</v>
      </c>
      <c r="F201" s="19" t="s">
        <v>1293</v>
      </c>
      <c r="G201" s="9" t="s">
        <v>1266</v>
      </c>
    </row>
    <row r="202" customFormat="false" ht="23.25" hidden="false" customHeight="true" outlineLevel="0" collapsed="false">
      <c r="A202" s="9" t="s">
        <v>53</v>
      </c>
      <c r="B202" s="9" t="s">
        <v>156</v>
      </c>
      <c r="C202" s="9" t="s">
        <v>24</v>
      </c>
      <c r="D202" s="9"/>
      <c r="E202" s="9" t="s">
        <v>49</v>
      </c>
      <c r="F202" s="19" t="s">
        <v>1294</v>
      </c>
      <c r="G202" s="9" t="s">
        <v>1105</v>
      </c>
    </row>
    <row r="203" customFormat="false" ht="15" hidden="false" customHeight="true" outlineLevel="0" collapsed="false">
      <c r="A203" s="9" t="s">
        <v>53</v>
      </c>
      <c r="B203" s="9" t="s">
        <v>156</v>
      </c>
      <c r="C203" s="9" t="s">
        <v>25</v>
      </c>
      <c r="D203" s="9"/>
      <c r="E203" s="9"/>
      <c r="F203" s="19" t="s">
        <v>1295</v>
      </c>
      <c r="G203" s="9" t="s">
        <v>1261</v>
      </c>
    </row>
    <row r="204" customFormat="false" ht="15" hidden="false" customHeight="true" outlineLevel="0" collapsed="false">
      <c r="A204" s="9" t="s">
        <v>53</v>
      </c>
      <c r="B204" s="9" t="s">
        <v>156</v>
      </c>
      <c r="C204" s="9" t="s">
        <v>26</v>
      </c>
      <c r="D204" s="9"/>
      <c r="E204" s="9" t="s">
        <v>51</v>
      </c>
      <c r="F204" s="19" t="s">
        <v>1296</v>
      </c>
      <c r="G204" s="9" t="s">
        <v>1101</v>
      </c>
    </row>
    <row r="205" customFormat="false" ht="15" hidden="false" customHeight="true" outlineLevel="0" collapsed="false">
      <c r="A205" s="9" t="s">
        <v>53</v>
      </c>
      <c r="B205" s="9" t="s">
        <v>156</v>
      </c>
      <c r="C205" s="9" t="s">
        <v>27</v>
      </c>
      <c r="D205" s="9"/>
      <c r="E205" s="9" t="s">
        <v>58</v>
      </c>
      <c r="F205" s="19" t="s">
        <v>1297</v>
      </c>
      <c r="G205" s="9" t="s">
        <v>1138</v>
      </c>
    </row>
    <row r="206" customFormat="false" ht="15" hidden="false" customHeight="true" outlineLevel="0" collapsed="false">
      <c r="A206" s="9" t="s">
        <v>53</v>
      </c>
      <c r="B206" s="9" t="s">
        <v>156</v>
      </c>
      <c r="C206" s="9" t="s">
        <v>28</v>
      </c>
      <c r="D206" s="9"/>
      <c r="E206" s="9" t="s">
        <v>72</v>
      </c>
      <c r="F206" s="19" t="s">
        <v>1298</v>
      </c>
      <c r="G206" s="9" t="s">
        <v>1114</v>
      </c>
    </row>
    <row r="207" customFormat="false" ht="23.25" hidden="false" customHeight="true" outlineLevel="0" collapsed="false">
      <c r="A207" s="9" t="s">
        <v>53</v>
      </c>
      <c r="B207" s="9" t="s">
        <v>156</v>
      </c>
      <c r="C207" s="9" t="s">
        <v>29</v>
      </c>
      <c r="D207" s="9"/>
      <c r="E207" s="9" t="s">
        <v>58</v>
      </c>
      <c r="F207" s="19" t="s">
        <v>1299</v>
      </c>
      <c r="G207" s="9" t="s">
        <v>1266</v>
      </c>
    </row>
    <row r="208" customFormat="false" ht="15" hidden="false" customHeight="true" outlineLevel="0" collapsed="false">
      <c r="A208" s="9" t="s">
        <v>53</v>
      </c>
      <c r="B208" s="9" t="s">
        <v>156</v>
      </c>
      <c r="C208" s="9" t="s">
        <v>30</v>
      </c>
      <c r="D208" s="9"/>
      <c r="E208" s="9" t="s">
        <v>49</v>
      </c>
      <c r="F208" s="19" t="s">
        <v>1300</v>
      </c>
      <c r="G208" s="9" t="s">
        <v>1268</v>
      </c>
    </row>
    <row r="209" customFormat="false" ht="15" hidden="false" customHeight="true" outlineLevel="0" collapsed="false">
      <c r="A209" s="9" t="s">
        <v>53</v>
      </c>
      <c r="B209" s="9" t="s">
        <v>156</v>
      </c>
      <c r="C209" s="9" t="s">
        <v>31</v>
      </c>
      <c r="D209" s="9"/>
      <c r="E209" s="9" t="s">
        <v>51</v>
      </c>
      <c r="F209" s="19" t="s">
        <v>1301</v>
      </c>
      <c r="G209" s="9" t="s">
        <v>1215</v>
      </c>
    </row>
    <row r="210" customFormat="false" ht="23.25" hidden="false" customHeight="true" outlineLevel="0" collapsed="false">
      <c r="A210" s="9" t="s">
        <v>53</v>
      </c>
      <c r="B210" s="9" t="s">
        <v>156</v>
      </c>
      <c r="C210" s="9" t="s">
        <v>33</v>
      </c>
      <c r="D210" s="9"/>
      <c r="E210" s="9" t="s">
        <v>49</v>
      </c>
      <c r="F210" s="19" t="s">
        <v>1302</v>
      </c>
      <c r="G210" s="9" t="s">
        <v>1101</v>
      </c>
    </row>
    <row r="211" customFormat="false" ht="23.25" hidden="false" customHeight="true" outlineLevel="0" collapsed="false">
      <c r="A211" s="9" t="s">
        <v>53</v>
      </c>
      <c r="B211" s="9" t="s">
        <v>156</v>
      </c>
      <c r="C211" s="9" t="s">
        <v>34</v>
      </c>
      <c r="D211" s="9"/>
      <c r="E211" s="9" t="s">
        <v>58</v>
      </c>
      <c r="F211" s="19" t="s">
        <v>1303</v>
      </c>
      <c r="G211" s="9" t="s">
        <v>1261</v>
      </c>
    </row>
    <row r="212" customFormat="false" ht="23.25" hidden="false" customHeight="true" outlineLevel="0" collapsed="false">
      <c r="A212" s="9" t="s">
        <v>53</v>
      </c>
      <c r="B212" s="9" t="s">
        <v>156</v>
      </c>
      <c r="C212" s="9" t="s">
        <v>36</v>
      </c>
      <c r="D212" s="9"/>
      <c r="E212" s="9" t="s">
        <v>58</v>
      </c>
      <c r="F212" s="19" t="s">
        <v>1304</v>
      </c>
      <c r="G212" s="9" t="s">
        <v>1104</v>
      </c>
    </row>
    <row r="213" customFormat="false" ht="34.5" hidden="false" customHeight="true" outlineLevel="0" collapsed="false">
      <c r="A213" s="9" t="s">
        <v>53</v>
      </c>
      <c r="B213" s="9" t="s">
        <v>156</v>
      </c>
      <c r="C213" s="9" t="s">
        <v>37</v>
      </c>
      <c r="D213" s="9"/>
      <c r="E213" s="9" t="s">
        <v>49</v>
      </c>
      <c r="F213" s="19" t="s">
        <v>1305</v>
      </c>
      <c r="G213" s="9" t="s">
        <v>1105</v>
      </c>
    </row>
    <row r="214" customFormat="false" ht="34.5" hidden="false" customHeight="true" outlineLevel="0" collapsed="false">
      <c r="A214" s="9" t="s">
        <v>53</v>
      </c>
      <c r="B214" s="9" t="s">
        <v>159</v>
      </c>
      <c r="C214" s="9" t="s">
        <v>23</v>
      </c>
      <c r="D214" s="9"/>
      <c r="E214" s="9" t="s">
        <v>49</v>
      </c>
      <c r="F214" s="19" t="s">
        <v>1306</v>
      </c>
      <c r="G214" s="9" t="s">
        <v>1307</v>
      </c>
    </row>
    <row r="215" customFormat="false" ht="15" hidden="false" customHeight="true" outlineLevel="0" collapsed="false">
      <c r="A215" s="9" t="s">
        <v>53</v>
      </c>
      <c r="B215" s="9" t="s">
        <v>159</v>
      </c>
      <c r="C215" s="9" t="s">
        <v>24</v>
      </c>
      <c r="D215" s="9"/>
      <c r="E215" s="9" t="s">
        <v>49</v>
      </c>
      <c r="F215" s="19" t="s">
        <v>1308</v>
      </c>
      <c r="G215" s="9" t="s">
        <v>1105</v>
      </c>
    </row>
    <row r="216" customFormat="false" ht="23.25" hidden="false" customHeight="true" outlineLevel="0" collapsed="false">
      <c r="A216" s="9" t="s">
        <v>53</v>
      </c>
      <c r="B216" s="9" t="s">
        <v>159</v>
      </c>
      <c r="C216" s="9" t="s">
        <v>25</v>
      </c>
      <c r="D216" s="9"/>
      <c r="E216" s="9"/>
      <c r="F216" s="19" t="s">
        <v>1309</v>
      </c>
      <c r="G216" s="9" t="s">
        <v>1261</v>
      </c>
    </row>
    <row r="217" customFormat="false" ht="15" hidden="false" customHeight="true" outlineLevel="0" collapsed="false">
      <c r="A217" s="9" t="s">
        <v>53</v>
      </c>
      <c r="B217" s="9" t="s">
        <v>159</v>
      </c>
      <c r="C217" s="9" t="s">
        <v>26</v>
      </c>
      <c r="D217" s="9"/>
      <c r="E217" s="9" t="s">
        <v>51</v>
      </c>
      <c r="F217" s="19" t="s">
        <v>1310</v>
      </c>
      <c r="G217" s="9" t="s">
        <v>1311</v>
      </c>
    </row>
    <row r="218" customFormat="false" ht="15" hidden="false" customHeight="true" outlineLevel="0" collapsed="false">
      <c r="A218" s="9" t="s">
        <v>53</v>
      </c>
      <c r="B218" s="9" t="s">
        <v>159</v>
      </c>
      <c r="C218" s="9" t="s">
        <v>27</v>
      </c>
      <c r="D218" s="9"/>
      <c r="E218" s="9" t="s">
        <v>58</v>
      </c>
      <c r="F218" s="19" t="s">
        <v>1312</v>
      </c>
      <c r="G218" s="9" t="s">
        <v>1138</v>
      </c>
    </row>
    <row r="219" customFormat="false" ht="23.25" hidden="false" customHeight="true" outlineLevel="0" collapsed="false">
      <c r="A219" s="9" t="s">
        <v>53</v>
      </c>
      <c r="B219" s="9" t="s">
        <v>159</v>
      </c>
      <c r="C219" s="9" t="s">
        <v>28</v>
      </c>
      <c r="D219" s="9"/>
      <c r="E219" s="9" t="s">
        <v>72</v>
      </c>
      <c r="F219" s="19" t="s">
        <v>1313</v>
      </c>
      <c r="G219" s="9" t="s">
        <v>1114</v>
      </c>
    </row>
    <row r="220" customFormat="false" ht="34.5" hidden="false" customHeight="true" outlineLevel="0" collapsed="false">
      <c r="A220" s="9" t="s">
        <v>53</v>
      </c>
      <c r="B220" s="9" t="s">
        <v>159</v>
      </c>
      <c r="C220" s="9" t="s">
        <v>29</v>
      </c>
      <c r="D220" s="9"/>
      <c r="E220" s="9"/>
      <c r="F220" s="19" t="s">
        <v>1314</v>
      </c>
      <c r="G220" s="9" t="s">
        <v>1266</v>
      </c>
    </row>
    <row r="221" customFormat="false" ht="15" hidden="false" customHeight="true" outlineLevel="0" collapsed="false">
      <c r="A221" s="9" t="s">
        <v>53</v>
      </c>
      <c r="B221" s="9" t="s">
        <v>159</v>
      </c>
      <c r="C221" s="9" t="s">
        <v>30</v>
      </c>
      <c r="D221" s="9"/>
      <c r="E221" s="9" t="s">
        <v>49</v>
      </c>
      <c r="F221" s="19" t="s">
        <v>1300</v>
      </c>
      <c r="G221" s="9" t="s">
        <v>1268</v>
      </c>
    </row>
    <row r="222" customFormat="false" ht="23.25" hidden="false" customHeight="true" outlineLevel="0" collapsed="false">
      <c r="A222" s="9" t="s">
        <v>53</v>
      </c>
      <c r="B222" s="9" t="s">
        <v>159</v>
      </c>
      <c r="C222" s="9" t="s">
        <v>31</v>
      </c>
      <c r="D222" s="9"/>
      <c r="E222" s="9" t="s">
        <v>51</v>
      </c>
      <c r="F222" s="19" t="s">
        <v>1315</v>
      </c>
      <c r="G222" s="9" t="s">
        <v>1215</v>
      </c>
    </row>
    <row r="223" customFormat="false" ht="45.75" hidden="false" customHeight="true" outlineLevel="0" collapsed="false">
      <c r="A223" s="9" t="s">
        <v>53</v>
      </c>
      <c r="B223" s="9" t="s">
        <v>159</v>
      </c>
      <c r="C223" s="9" t="s">
        <v>33</v>
      </c>
      <c r="D223" s="9"/>
      <c r="E223" s="9" t="s">
        <v>49</v>
      </c>
      <c r="F223" s="19" t="s">
        <v>1316</v>
      </c>
      <c r="G223" s="9" t="s">
        <v>1317</v>
      </c>
    </row>
    <row r="224" customFormat="false" ht="23.25" hidden="false" customHeight="true" outlineLevel="0" collapsed="false">
      <c r="A224" s="9" t="s">
        <v>53</v>
      </c>
      <c r="B224" s="9" t="s">
        <v>159</v>
      </c>
      <c r="C224" s="9" t="s">
        <v>34</v>
      </c>
      <c r="D224" s="9"/>
      <c r="E224" s="9" t="s">
        <v>52</v>
      </c>
      <c r="F224" s="19" t="s">
        <v>1318</v>
      </c>
      <c r="G224" s="9" t="s">
        <v>1319</v>
      </c>
    </row>
    <row r="225" customFormat="false" ht="23.25" hidden="false" customHeight="true" outlineLevel="0" collapsed="false">
      <c r="A225" s="9" t="s">
        <v>53</v>
      </c>
      <c r="B225" s="9" t="s">
        <v>159</v>
      </c>
      <c r="C225" s="9" t="s">
        <v>36</v>
      </c>
      <c r="D225" s="9"/>
      <c r="E225" s="9" t="s">
        <v>51</v>
      </c>
      <c r="F225" s="19" t="s">
        <v>1320</v>
      </c>
      <c r="G225" s="9" t="s">
        <v>1104</v>
      </c>
    </row>
    <row r="226" customFormat="false" ht="23.25" hidden="false" customHeight="true" outlineLevel="0" collapsed="false">
      <c r="A226" s="9" t="s">
        <v>53</v>
      </c>
      <c r="B226" s="9" t="s">
        <v>159</v>
      </c>
      <c r="C226" s="9" t="s">
        <v>37</v>
      </c>
      <c r="D226" s="9"/>
      <c r="E226" s="9" t="s">
        <v>49</v>
      </c>
      <c r="F226" s="19" t="s">
        <v>1321</v>
      </c>
      <c r="G226" s="9" t="s">
        <v>1105</v>
      </c>
    </row>
    <row r="227" customFormat="false" ht="23.25" hidden="false" customHeight="true" outlineLevel="0" collapsed="false">
      <c r="A227" s="9" t="s">
        <v>53</v>
      </c>
      <c r="B227" s="9" t="s">
        <v>46</v>
      </c>
      <c r="C227" s="9" t="s">
        <v>23</v>
      </c>
      <c r="D227" s="9" t="s">
        <v>49</v>
      </c>
      <c r="E227" s="9" t="s">
        <v>49</v>
      </c>
      <c r="F227" s="19" t="s">
        <v>1322</v>
      </c>
      <c r="G227" s="9" t="s">
        <v>1323</v>
      </c>
    </row>
    <row r="228" customFormat="false" ht="23.25" hidden="false" customHeight="true" outlineLevel="0" collapsed="false">
      <c r="A228" s="9" t="s">
        <v>53</v>
      </c>
      <c r="B228" s="9" t="s">
        <v>46</v>
      </c>
      <c r="C228" s="9" t="s">
        <v>24</v>
      </c>
      <c r="D228" s="9" t="s">
        <v>49</v>
      </c>
      <c r="E228" s="9" t="s">
        <v>49</v>
      </c>
      <c r="F228" s="19" t="s">
        <v>1324</v>
      </c>
      <c r="G228" s="9" t="s">
        <v>1325</v>
      </c>
    </row>
    <row r="229" customFormat="false" ht="23.25" hidden="false" customHeight="true" outlineLevel="0" collapsed="false">
      <c r="A229" s="9" t="s">
        <v>53</v>
      </c>
      <c r="B229" s="9" t="s">
        <v>46</v>
      </c>
      <c r="C229" s="9" t="s">
        <v>25</v>
      </c>
      <c r="D229" s="9" t="s">
        <v>49</v>
      </c>
      <c r="E229" s="9" t="s">
        <v>49</v>
      </c>
      <c r="F229" s="19" t="s">
        <v>1326</v>
      </c>
      <c r="G229" s="9" t="s">
        <v>1327</v>
      </c>
    </row>
    <row r="230" customFormat="false" ht="15" hidden="false" customHeight="true" outlineLevel="0" collapsed="false">
      <c r="A230" s="9" t="s">
        <v>53</v>
      </c>
      <c r="B230" s="9" t="s">
        <v>46</v>
      </c>
      <c r="C230" s="9" t="s">
        <v>27</v>
      </c>
      <c r="D230" s="9" t="s">
        <v>49</v>
      </c>
      <c r="E230" s="9" t="s">
        <v>49</v>
      </c>
      <c r="F230" s="19" t="s">
        <v>1328</v>
      </c>
      <c r="G230" s="9" t="s">
        <v>1329</v>
      </c>
    </row>
    <row r="231" customFormat="false" ht="15" hidden="false" customHeight="true" outlineLevel="0" collapsed="false">
      <c r="A231" s="9" t="s">
        <v>53</v>
      </c>
      <c r="B231" s="9" t="s">
        <v>46</v>
      </c>
      <c r="C231" s="9" t="s">
        <v>28</v>
      </c>
      <c r="D231" s="9" t="s">
        <v>51</v>
      </c>
      <c r="E231" s="9" t="s">
        <v>51</v>
      </c>
      <c r="F231" s="19" t="s">
        <v>1330</v>
      </c>
      <c r="G231" s="9" t="s">
        <v>1331</v>
      </c>
    </row>
    <row r="232" customFormat="false" ht="23.25" hidden="false" customHeight="true" outlineLevel="0" collapsed="false">
      <c r="A232" s="9" t="s">
        <v>53</v>
      </c>
      <c r="B232" s="9" t="s">
        <v>46</v>
      </c>
      <c r="C232" s="9" t="s">
        <v>29</v>
      </c>
      <c r="D232" s="9" t="s">
        <v>51</v>
      </c>
      <c r="E232" s="9" t="s">
        <v>51</v>
      </c>
      <c r="F232" s="19" t="s">
        <v>1332</v>
      </c>
      <c r="G232" s="9" t="s">
        <v>1333</v>
      </c>
    </row>
    <row r="233" customFormat="false" ht="15" hidden="false" customHeight="true" outlineLevel="0" collapsed="false">
      <c r="A233" s="9" t="s">
        <v>53</v>
      </c>
      <c r="B233" s="9" t="s">
        <v>46</v>
      </c>
      <c r="C233" s="9" t="s">
        <v>30</v>
      </c>
      <c r="D233" s="9" t="s">
        <v>49</v>
      </c>
      <c r="E233" s="9" t="s">
        <v>49</v>
      </c>
      <c r="F233" s="19" t="s">
        <v>1334</v>
      </c>
      <c r="G233" s="9" t="s">
        <v>1335</v>
      </c>
    </row>
    <row r="234" customFormat="false" ht="15" hidden="false" customHeight="true" outlineLevel="0" collapsed="false">
      <c r="A234" s="9" t="s">
        <v>53</v>
      </c>
      <c r="B234" s="9" t="s">
        <v>46</v>
      </c>
      <c r="C234" s="9" t="s">
        <v>31</v>
      </c>
      <c r="D234" s="9" t="s">
        <v>49</v>
      </c>
      <c r="E234" s="9" t="s">
        <v>49</v>
      </c>
      <c r="F234" s="19" t="s">
        <v>1336</v>
      </c>
      <c r="G234" s="9" t="s">
        <v>1215</v>
      </c>
    </row>
    <row r="235" customFormat="false" ht="15" hidden="false" customHeight="true" outlineLevel="0" collapsed="false">
      <c r="A235" s="9" t="s">
        <v>53</v>
      </c>
      <c r="B235" s="9" t="s">
        <v>46</v>
      </c>
      <c r="C235" s="9" t="s">
        <v>32</v>
      </c>
      <c r="D235" s="9" t="s">
        <v>49</v>
      </c>
      <c r="E235" s="9" t="s">
        <v>49</v>
      </c>
      <c r="F235" s="19" t="s">
        <v>1337</v>
      </c>
      <c r="G235" s="9" t="s">
        <v>1338</v>
      </c>
    </row>
    <row r="236" customFormat="false" ht="15" hidden="false" customHeight="true" outlineLevel="0" collapsed="false">
      <c r="A236" s="9" t="s">
        <v>53</v>
      </c>
      <c r="B236" s="9" t="s">
        <v>46</v>
      </c>
      <c r="C236" s="9" t="s">
        <v>33</v>
      </c>
      <c r="D236" s="9" t="s">
        <v>49</v>
      </c>
      <c r="E236" s="9" t="s">
        <v>49</v>
      </c>
      <c r="F236" s="19" t="s">
        <v>1339</v>
      </c>
      <c r="G236" s="9" t="s">
        <v>1122</v>
      </c>
    </row>
    <row r="237" customFormat="false" ht="15" hidden="false" customHeight="true" outlineLevel="0" collapsed="false">
      <c r="A237" s="9" t="s">
        <v>53</v>
      </c>
      <c r="B237" s="9" t="s">
        <v>46</v>
      </c>
      <c r="C237" s="9" t="s">
        <v>35</v>
      </c>
      <c r="D237" s="9" t="s">
        <v>49</v>
      </c>
      <c r="E237" s="9" t="s">
        <v>49</v>
      </c>
      <c r="F237" s="19" t="s">
        <v>1340</v>
      </c>
      <c r="G237" s="9" t="s">
        <v>1341</v>
      </c>
    </row>
    <row r="238" customFormat="false" ht="23.25" hidden="false" customHeight="true" outlineLevel="0" collapsed="false">
      <c r="A238" s="9" t="s">
        <v>53</v>
      </c>
      <c r="B238" s="9" t="s">
        <v>46</v>
      </c>
      <c r="C238" s="9" t="s">
        <v>36</v>
      </c>
      <c r="D238" s="9" t="s">
        <v>49</v>
      </c>
      <c r="E238" s="9" t="s">
        <v>49</v>
      </c>
      <c r="F238" s="19" t="s">
        <v>1342</v>
      </c>
      <c r="G238" s="9" t="s">
        <v>1325</v>
      </c>
    </row>
    <row r="239" customFormat="false" ht="15" hidden="false" customHeight="true" outlineLevel="0" collapsed="false">
      <c r="A239" s="9" t="s">
        <v>53</v>
      </c>
      <c r="B239" s="9" t="s">
        <v>46</v>
      </c>
      <c r="C239" s="9" t="s">
        <v>37</v>
      </c>
      <c r="D239" s="9" t="s">
        <v>52</v>
      </c>
      <c r="E239" s="9" t="s">
        <v>52</v>
      </c>
      <c r="F239" s="19" t="s">
        <v>1343</v>
      </c>
      <c r="G239" s="9" t="s">
        <v>1344</v>
      </c>
    </row>
    <row r="240" customFormat="false" ht="15" hidden="false" customHeight="true" outlineLevel="0" collapsed="false">
      <c r="A240" s="9" t="s">
        <v>53</v>
      </c>
      <c r="B240" s="9" t="s">
        <v>162</v>
      </c>
      <c r="C240" s="9" t="s">
        <v>28</v>
      </c>
      <c r="D240" s="9"/>
      <c r="E240" s="9" t="s">
        <v>52</v>
      </c>
      <c r="F240" s="19" t="s">
        <v>1099</v>
      </c>
      <c r="G240" s="9" t="s">
        <v>1345</v>
      </c>
    </row>
    <row r="241" customFormat="false" ht="15" hidden="false" customHeight="true" outlineLevel="0" collapsed="false">
      <c r="A241" s="9" t="s">
        <v>53</v>
      </c>
      <c r="B241" s="9" t="s">
        <v>55</v>
      </c>
      <c r="C241" s="9" t="s">
        <v>1098</v>
      </c>
      <c r="D241" s="9"/>
      <c r="E241" s="9" t="s">
        <v>58</v>
      </c>
      <c r="F241" s="19" t="s">
        <v>1346</v>
      </c>
      <c r="G241" s="9" t="s">
        <v>1114</v>
      </c>
    </row>
    <row r="242" customFormat="false" ht="15" hidden="false" customHeight="true" outlineLevel="0" collapsed="false">
      <c r="A242" s="9" t="s">
        <v>53</v>
      </c>
      <c r="B242" s="9" t="s">
        <v>61</v>
      </c>
      <c r="C242" s="9" t="s">
        <v>1098</v>
      </c>
      <c r="D242" s="9"/>
      <c r="E242" s="9" t="s">
        <v>58</v>
      </c>
      <c r="F242" s="19" t="s">
        <v>1347</v>
      </c>
      <c r="G242" s="9" t="s">
        <v>1114</v>
      </c>
    </row>
    <row r="243" customFormat="false" ht="15" hidden="false" customHeight="true" outlineLevel="0" collapsed="false">
      <c r="A243" s="9" t="s">
        <v>53</v>
      </c>
      <c r="B243" s="9" t="s">
        <v>64</v>
      </c>
      <c r="C243" s="9" t="s">
        <v>1098</v>
      </c>
      <c r="D243" s="9"/>
      <c r="E243" s="9" t="s">
        <v>58</v>
      </c>
      <c r="F243" s="19" t="s">
        <v>1348</v>
      </c>
      <c r="G243" s="9" t="s">
        <v>1114</v>
      </c>
    </row>
    <row r="244" customFormat="false" ht="15" hidden="false" customHeight="true" outlineLevel="0" collapsed="false">
      <c r="A244" s="9" t="s">
        <v>53</v>
      </c>
      <c r="B244" s="9" t="s">
        <v>86</v>
      </c>
      <c r="C244" s="9" t="s">
        <v>1098</v>
      </c>
      <c r="D244" s="9"/>
      <c r="E244" s="9" t="s">
        <v>58</v>
      </c>
      <c r="F244" s="19" t="s">
        <v>1349</v>
      </c>
      <c r="G244" s="9" t="s">
        <v>1114</v>
      </c>
    </row>
    <row r="245" customFormat="false" ht="15" hidden="false" customHeight="true" outlineLevel="0" collapsed="false">
      <c r="A245" s="9" t="s">
        <v>53</v>
      </c>
      <c r="B245" s="9" t="s">
        <v>83</v>
      </c>
      <c r="C245" s="9" t="s">
        <v>1098</v>
      </c>
      <c r="D245" s="9"/>
      <c r="E245" s="9" t="s">
        <v>51</v>
      </c>
      <c r="F245" s="19" t="s">
        <v>1350</v>
      </c>
      <c r="G245" s="9" t="s">
        <v>1114</v>
      </c>
    </row>
    <row r="246" customFormat="false" ht="15" hidden="false" customHeight="true" outlineLevel="0" collapsed="false">
      <c r="A246" s="9" t="s">
        <v>53</v>
      </c>
      <c r="B246" s="9" t="s">
        <v>67</v>
      </c>
      <c r="C246" s="9" t="s">
        <v>1098</v>
      </c>
      <c r="D246" s="9"/>
      <c r="E246" s="9" t="s">
        <v>58</v>
      </c>
      <c r="F246" s="19" t="s">
        <v>1351</v>
      </c>
      <c r="G246" s="9" t="s">
        <v>1114</v>
      </c>
    </row>
    <row r="247" customFormat="false" ht="15" hidden="false" customHeight="true" outlineLevel="0" collapsed="false">
      <c r="A247" s="9" t="s">
        <v>53</v>
      </c>
      <c r="B247" s="9" t="s">
        <v>117</v>
      </c>
      <c r="C247" s="9" t="s">
        <v>1098</v>
      </c>
      <c r="D247" s="9"/>
      <c r="E247" s="9" t="s">
        <v>72</v>
      </c>
      <c r="F247" s="19" t="s">
        <v>1352</v>
      </c>
      <c r="G247" s="9" t="s">
        <v>1114</v>
      </c>
    </row>
    <row r="248" customFormat="false" ht="15" hidden="false" customHeight="true" outlineLevel="0" collapsed="false">
      <c r="A248" s="9" t="s">
        <v>53</v>
      </c>
      <c r="B248" s="9" t="s">
        <v>147</v>
      </c>
      <c r="C248" s="9" t="s">
        <v>1098</v>
      </c>
      <c r="D248" s="9"/>
      <c r="E248" s="9" t="s">
        <v>72</v>
      </c>
      <c r="F248" s="19" t="s">
        <v>1353</v>
      </c>
      <c r="G248" s="9" t="s">
        <v>1114</v>
      </c>
    </row>
    <row r="249" customFormat="false" ht="15" hidden="false" customHeight="true" outlineLevel="0" collapsed="false">
      <c r="A249" s="9" t="s">
        <v>53</v>
      </c>
      <c r="B249" s="9" t="s">
        <v>123</v>
      </c>
      <c r="C249" s="9" t="s">
        <v>1098</v>
      </c>
      <c r="D249" s="9"/>
      <c r="E249" s="9" t="s">
        <v>58</v>
      </c>
      <c r="F249" s="19" t="s">
        <v>1354</v>
      </c>
      <c r="G249" s="9" t="s">
        <v>1114</v>
      </c>
    </row>
    <row r="250" customFormat="false" ht="15" hidden="false" customHeight="true" outlineLevel="0" collapsed="false">
      <c r="A250" s="9" t="s">
        <v>53</v>
      </c>
      <c r="B250" s="9" t="s">
        <v>77</v>
      </c>
      <c r="C250" s="9" t="s">
        <v>1098</v>
      </c>
      <c r="D250" s="9"/>
      <c r="E250" s="9" t="s">
        <v>58</v>
      </c>
      <c r="F250" s="19" t="s">
        <v>1355</v>
      </c>
      <c r="G250" s="9" t="s">
        <v>1114</v>
      </c>
    </row>
    <row r="251" customFormat="false" ht="15" hidden="false" customHeight="true" outlineLevel="0" collapsed="false">
      <c r="A251" s="9" t="s">
        <v>53</v>
      </c>
      <c r="B251" s="9" t="s">
        <v>74</v>
      </c>
      <c r="C251" s="9" t="s">
        <v>1098</v>
      </c>
      <c r="D251" s="9"/>
      <c r="E251" s="9" t="s">
        <v>72</v>
      </c>
      <c r="F251" s="19" t="s">
        <v>1356</v>
      </c>
      <c r="G251" s="9" t="s">
        <v>1114</v>
      </c>
    </row>
    <row r="252" customFormat="false" ht="15" hidden="false" customHeight="true" outlineLevel="0" collapsed="false">
      <c r="A252" s="9" t="s">
        <v>53</v>
      </c>
      <c r="B252" s="9" t="s">
        <v>70</v>
      </c>
      <c r="C252" s="9" t="s">
        <v>1098</v>
      </c>
      <c r="D252" s="9"/>
      <c r="E252" s="9" t="s">
        <v>51</v>
      </c>
      <c r="F252" s="19" t="s">
        <v>1357</v>
      </c>
      <c r="G252" s="9" t="s">
        <v>1114</v>
      </c>
    </row>
    <row r="253" customFormat="false" ht="15" hidden="false" customHeight="true" outlineLevel="0" collapsed="false">
      <c r="A253" s="9" t="s">
        <v>53</v>
      </c>
      <c r="B253" s="9" t="s">
        <v>135</v>
      </c>
      <c r="C253" s="9" t="s">
        <v>1098</v>
      </c>
      <c r="D253" s="9"/>
      <c r="E253" s="9" t="s">
        <v>72</v>
      </c>
      <c r="F253" s="19" t="s">
        <v>1358</v>
      </c>
      <c r="G253" s="9" t="s">
        <v>1114</v>
      </c>
    </row>
    <row r="254" customFormat="false" ht="15" hidden="false" customHeight="true" outlineLevel="0" collapsed="false">
      <c r="A254" s="9" t="s">
        <v>53</v>
      </c>
      <c r="B254" s="9" t="s">
        <v>104</v>
      </c>
      <c r="C254" s="9" t="s">
        <v>1098</v>
      </c>
      <c r="D254" s="9"/>
      <c r="E254" s="9" t="s">
        <v>52</v>
      </c>
      <c r="F254" s="19" t="s">
        <v>1359</v>
      </c>
      <c r="G254" s="9" t="s">
        <v>1114</v>
      </c>
    </row>
    <row r="255" customFormat="false" ht="15" hidden="false" customHeight="true" outlineLevel="0" collapsed="false">
      <c r="A255" s="9" t="s">
        <v>53</v>
      </c>
      <c r="B255" s="9" t="s">
        <v>46</v>
      </c>
      <c r="C255" s="9" t="s">
        <v>1098</v>
      </c>
      <c r="D255" s="9"/>
      <c r="E255" s="9" t="s">
        <v>51</v>
      </c>
      <c r="F255" s="19" t="s">
        <v>1360</v>
      </c>
      <c r="G255" s="9" t="s">
        <v>1114</v>
      </c>
    </row>
    <row r="256" customFormat="false" ht="15" hidden="false" customHeight="true" outlineLevel="0" collapsed="false">
      <c r="A256" s="9" t="s">
        <v>53</v>
      </c>
      <c r="B256" s="9" t="s">
        <v>114</v>
      </c>
      <c r="C256" s="9" t="s">
        <v>1098</v>
      </c>
      <c r="D256" s="9"/>
      <c r="E256" s="9" t="s">
        <v>51</v>
      </c>
      <c r="F256" s="19" t="s">
        <v>1361</v>
      </c>
      <c r="G256" s="9" t="s">
        <v>1114</v>
      </c>
    </row>
    <row r="257" customFormat="false" ht="15" hidden="false" customHeight="true" outlineLevel="0" collapsed="false">
      <c r="A257" s="9" t="s">
        <v>53</v>
      </c>
      <c r="B257" s="9" t="s">
        <v>94</v>
      </c>
      <c r="C257" s="9" t="s">
        <v>1098</v>
      </c>
      <c r="D257" s="9"/>
      <c r="E257" s="9" t="s">
        <v>58</v>
      </c>
      <c r="F257" s="19" t="s">
        <v>1362</v>
      </c>
      <c r="G257" s="9" t="s">
        <v>1114</v>
      </c>
    </row>
    <row r="258" customFormat="false" ht="15" hidden="false" customHeight="true" outlineLevel="0" collapsed="false">
      <c r="A258" s="9" t="s">
        <v>53</v>
      </c>
      <c r="B258" s="9" t="s">
        <v>97</v>
      </c>
      <c r="C258" s="9" t="s">
        <v>1098</v>
      </c>
      <c r="D258" s="9"/>
      <c r="E258" s="9" t="s">
        <v>49</v>
      </c>
      <c r="F258" s="19" t="s">
        <v>1363</v>
      </c>
      <c r="G258" s="9" t="s">
        <v>1114</v>
      </c>
    </row>
    <row r="259" customFormat="false" ht="15" hidden="false" customHeight="true" outlineLevel="0" collapsed="false">
      <c r="A259" s="9" t="s">
        <v>53</v>
      </c>
      <c r="B259" s="9" t="s">
        <v>80</v>
      </c>
      <c r="C259" s="9" t="s">
        <v>1098</v>
      </c>
      <c r="D259" s="9"/>
      <c r="E259" s="9" t="s">
        <v>51</v>
      </c>
      <c r="F259" s="19" t="s">
        <v>1364</v>
      </c>
      <c r="G259" s="9" t="s">
        <v>1114</v>
      </c>
    </row>
    <row r="260" customFormat="false" ht="15" hidden="false" customHeight="true" outlineLevel="0" collapsed="false">
      <c r="A260" s="9" t="s">
        <v>53</v>
      </c>
      <c r="B260" s="9" t="s">
        <v>88</v>
      </c>
      <c r="C260" s="9" t="s">
        <v>1098</v>
      </c>
      <c r="D260" s="9"/>
      <c r="E260" s="9" t="s">
        <v>49</v>
      </c>
      <c r="F260" s="19" t="s">
        <v>1365</v>
      </c>
      <c r="G260" s="9" t="s">
        <v>1114</v>
      </c>
    </row>
    <row r="261" customFormat="false" ht="15" hidden="false" customHeight="true" outlineLevel="0" collapsed="false">
      <c r="A261" s="9" t="s">
        <v>53</v>
      </c>
      <c r="B261" s="9" t="s">
        <v>46</v>
      </c>
      <c r="C261" s="9" t="s">
        <v>1119</v>
      </c>
      <c r="D261" s="9"/>
      <c r="E261" s="9" t="s">
        <v>49</v>
      </c>
      <c r="F261" s="19" t="s">
        <v>1366</v>
      </c>
      <c r="G261" s="9" t="s">
        <v>1104</v>
      </c>
    </row>
    <row r="262" customFormat="false" ht="15" hidden="false" customHeight="true" outlineLevel="0" collapsed="false">
      <c r="A262" s="9" t="s">
        <v>53</v>
      </c>
      <c r="B262" s="9" t="s">
        <v>46</v>
      </c>
      <c r="C262" s="9" t="s">
        <v>1120</v>
      </c>
      <c r="D262" s="9"/>
      <c r="E262" s="9" t="s">
        <v>52</v>
      </c>
      <c r="F262" s="19" t="s">
        <v>1367</v>
      </c>
      <c r="G262" s="9" t="s">
        <v>1105</v>
      </c>
    </row>
    <row r="263" customFormat="false" ht="15" hidden="false" customHeight="true" outlineLevel="0" collapsed="false">
      <c r="A263" s="9" t="s">
        <v>53</v>
      </c>
      <c r="B263" s="9" t="s">
        <v>55</v>
      </c>
      <c r="C263" s="9" t="s">
        <v>1119</v>
      </c>
      <c r="D263" s="9"/>
      <c r="E263" s="9" t="s">
        <v>49</v>
      </c>
      <c r="F263" s="19" t="s">
        <v>1368</v>
      </c>
      <c r="G263" s="9" t="s">
        <v>1104</v>
      </c>
    </row>
    <row r="264" customFormat="false" ht="15" hidden="false" customHeight="true" outlineLevel="0" collapsed="false">
      <c r="A264" s="9" t="s">
        <v>53</v>
      </c>
      <c r="B264" s="9" t="s">
        <v>55</v>
      </c>
      <c r="C264" s="9" t="s">
        <v>1120</v>
      </c>
      <c r="D264" s="9"/>
      <c r="E264" s="9" t="s">
        <v>49</v>
      </c>
      <c r="F264" s="19" t="s">
        <v>1369</v>
      </c>
      <c r="G264" s="9" t="s">
        <v>1105</v>
      </c>
    </row>
    <row r="265" customFormat="false" ht="15" hidden="false" customHeight="true" outlineLevel="0" collapsed="false">
      <c r="A265" s="9" t="s">
        <v>53</v>
      </c>
      <c r="B265" s="9" t="s">
        <v>61</v>
      </c>
      <c r="C265" s="9" t="s">
        <v>1119</v>
      </c>
      <c r="D265" s="9"/>
      <c r="E265" s="9" t="s">
        <v>52</v>
      </c>
      <c r="F265" s="19" t="s">
        <v>1370</v>
      </c>
      <c r="G265" s="9" t="s">
        <v>1104</v>
      </c>
    </row>
    <row r="266" customFormat="false" ht="15" hidden="false" customHeight="true" outlineLevel="0" collapsed="false">
      <c r="A266" s="9" t="s">
        <v>53</v>
      </c>
      <c r="B266" s="9" t="s">
        <v>61</v>
      </c>
      <c r="C266" s="9" t="s">
        <v>1120</v>
      </c>
      <c r="D266" s="9"/>
      <c r="E266" s="9" t="s">
        <v>49</v>
      </c>
      <c r="F266" s="19" t="s">
        <v>1371</v>
      </c>
      <c r="G266" s="9" t="s">
        <v>1105</v>
      </c>
    </row>
    <row r="267" customFormat="false" ht="15" hidden="false" customHeight="true" outlineLevel="0" collapsed="false">
      <c r="A267" s="9" t="s">
        <v>53</v>
      </c>
      <c r="B267" s="9" t="s">
        <v>64</v>
      </c>
      <c r="C267" s="9" t="s">
        <v>1119</v>
      </c>
      <c r="D267" s="9"/>
      <c r="E267" s="9" t="s">
        <v>52</v>
      </c>
      <c r="F267" s="19" t="s">
        <v>1372</v>
      </c>
      <c r="G267" s="9" t="s">
        <v>1104</v>
      </c>
    </row>
    <row r="268" customFormat="false" ht="15" hidden="false" customHeight="true" outlineLevel="0" collapsed="false">
      <c r="A268" s="9" t="s">
        <v>53</v>
      </c>
      <c r="B268" s="9" t="s">
        <v>64</v>
      </c>
      <c r="C268" s="9" t="s">
        <v>1120</v>
      </c>
      <c r="D268" s="9"/>
      <c r="E268" s="9" t="s">
        <v>52</v>
      </c>
      <c r="F268" s="19" t="s">
        <v>1373</v>
      </c>
      <c r="G268" s="9" t="s">
        <v>1105</v>
      </c>
    </row>
    <row r="269" customFormat="false" ht="15" hidden="false" customHeight="true" outlineLevel="0" collapsed="false">
      <c r="A269" s="9" t="s">
        <v>53</v>
      </c>
      <c r="B269" s="9" t="s">
        <v>86</v>
      </c>
      <c r="C269" s="9" t="s">
        <v>1119</v>
      </c>
      <c r="D269" s="9"/>
      <c r="E269" s="9" t="s">
        <v>49</v>
      </c>
      <c r="F269" s="19" t="s">
        <v>1374</v>
      </c>
      <c r="G269" s="9" t="s">
        <v>1104</v>
      </c>
    </row>
    <row r="270" customFormat="false" ht="15" hidden="false" customHeight="true" outlineLevel="0" collapsed="false">
      <c r="A270" s="9" t="s">
        <v>53</v>
      </c>
      <c r="B270" s="9" t="s">
        <v>86</v>
      </c>
      <c r="C270" s="9" t="s">
        <v>1120</v>
      </c>
      <c r="D270" s="9"/>
      <c r="E270" s="9" t="s">
        <v>52</v>
      </c>
      <c r="F270" s="19" t="s">
        <v>1375</v>
      </c>
      <c r="G270" s="9" t="s">
        <v>1105</v>
      </c>
    </row>
    <row r="271" customFormat="false" ht="15" hidden="false" customHeight="true" outlineLevel="0" collapsed="false">
      <c r="A271" s="9" t="s">
        <v>53</v>
      </c>
      <c r="B271" s="9" t="s">
        <v>67</v>
      </c>
      <c r="C271" s="9" t="s">
        <v>1119</v>
      </c>
      <c r="D271" s="9"/>
      <c r="E271" s="9" t="s">
        <v>51</v>
      </c>
      <c r="F271" s="19" t="s">
        <v>1376</v>
      </c>
      <c r="G271" s="9" t="s">
        <v>1104</v>
      </c>
    </row>
    <row r="272" customFormat="false" ht="15" hidden="false" customHeight="true" outlineLevel="0" collapsed="false">
      <c r="A272" s="9" t="s">
        <v>53</v>
      </c>
      <c r="B272" s="9" t="s">
        <v>67</v>
      </c>
      <c r="C272" s="9" t="s">
        <v>1120</v>
      </c>
      <c r="D272" s="9"/>
      <c r="E272" s="9" t="s">
        <v>49</v>
      </c>
      <c r="F272" s="19" t="s">
        <v>1377</v>
      </c>
      <c r="G272" s="9" t="s">
        <v>1105</v>
      </c>
    </row>
    <row r="273" customFormat="false" ht="15" hidden="false" customHeight="true" outlineLevel="0" collapsed="false">
      <c r="A273" s="9" t="s">
        <v>53</v>
      </c>
      <c r="B273" s="9" t="s">
        <v>70</v>
      </c>
      <c r="C273" s="9" t="s">
        <v>1119</v>
      </c>
      <c r="D273" s="9"/>
      <c r="E273" s="9" t="s">
        <v>52</v>
      </c>
      <c r="F273" s="19" t="s">
        <v>1378</v>
      </c>
      <c r="G273" s="9" t="s">
        <v>1104</v>
      </c>
    </row>
    <row r="274" customFormat="false" ht="15" hidden="false" customHeight="true" outlineLevel="0" collapsed="false">
      <c r="A274" s="9" t="s">
        <v>53</v>
      </c>
      <c r="B274" s="9" t="s">
        <v>70</v>
      </c>
      <c r="C274" s="9" t="s">
        <v>1120</v>
      </c>
      <c r="D274" s="9"/>
      <c r="E274" s="9" t="s">
        <v>49</v>
      </c>
      <c r="F274" s="19" t="s">
        <v>1379</v>
      </c>
      <c r="G274" s="9" t="s">
        <v>1105</v>
      </c>
    </row>
    <row r="275" customFormat="false" ht="15" hidden="false" customHeight="true" outlineLevel="0" collapsed="false">
      <c r="A275" s="9" t="s">
        <v>53</v>
      </c>
      <c r="B275" s="9" t="s">
        <v>74</v>
      </c>
      <c r="C275" s="9" t="s">
        <v>1119</v>
      </c>
      <c r="D275" s="9"/>
      <c r="E275" s="9" t="s">
        <v>51</v>
      </c>
      <c r="F275" s="19" t="s">
        <v>1380</v>
      </c>
      <c r="G275" s="9" t="s">
        <v>1104</v>
      </c>
    </row>
    <row r="276" customFormat="false" ht="15" hidden="false" customHeight="true" outlineLevel="0" collapsed="false">
      <c r="A276" s="9" t="s">
        <v>53</v>
      </c>
      <c r="B276" s="9" t="s">
        <v>74</v>
      </c>
      <c r="C276" s="9" t="s">
        <v>1120</v>
      </c>
      <c r="D276" s="9"/>
      <c r="E276" s="9" t="s">
        <v>49</v>
      </c>
      <c r="F276" s="19" t="s">
        <v>1381</v>
      </c>
      <c r="G276" s="9" t="s">
        <v>1105</v>
      </c>
    </row>
    <row r="277" customFormat="false" ht="15" hidden="false" customHeight="true" outlineLevel="0" collapsed="false">
      <c r="A277" s="9" t="s">
        <v>53</v>
      </c>
      <c r="B277" s="9" t="s">
        <v>77</v>
      </c>
      <c r="C277" s="9" t="s">
        <v>1119</v>
      </c>
      <c r="D277" s="9"/>
      <c r="E277" s="9" t="s">
        <v>51</v>
      </c>
      <c r="F277" s="19" t="s">
        <v>1382</v>
      </c>
      <c r="G277" s="9" t="s">
        <v>1104</v>
      </c>
    </row>
    <row r="278" customFormat="false" ht="15" hidden="false" customHeight="true" outlineLevel="0" collapsed="false">
      <c r="A278" s="9" t="s">
        <v>53</v>
      </c>
      <c r="B278" s="9" t="s">
        <v>77</v>
      </c>
      <c r="C278" s="9" t="s">
        <v>1120</v>
      </c>
      <c r="D278" s="9"/>
      <c r="E278" s="9" t="s">
        <v>49</v>
      </c>
      <c r="F278" s="19" t="s">
        <v>1383</v>
      </c>
      <c r="G278" s="9" t="s">
        <v>1105</v>
      </c>
    </row>
    <row r="279" customFormat="false" ht="15" hidden="false" customHeight="true" outlineLevel="0" collapsed="false">
      <c r="A279" s="9" t="s">
        <v>53</v>
      </c>
      <c r="B279" s="9" t="s">
        <v>80</v>
      </c>
      <c r="C279" s="9" t="s">
        <v>1119</v>
      </c>
      <c r="D279" s="9"/>
      <c r="E279" s="9" t="s">
        <v>51</v>
      </c>
      <c r="F279" s="19" t="s">
        <v>1384</v>
      </c>
      <c r="G279" s="9" t="s">
        <v>1104</v>
      </c>
    </row>
    <row r="280" customFormat="false" ht="15" hidden="false" customHeight="true" outlineLevel="0" collapsed="false">
      <c r="A280" s="9" t="s">
        <v>53</v>
      </c>
      <c r="B280" s="9" t="s">
        <v>80</v>
      </c>
      <c r="C280" s="9" t="s">
        <v>1120</v>
      </c>
      <c r="D280" s="9"/>
      <c r="E280" s="9" t="s">
        <v>49</v>
      </c>
      <c r="F280" s="19" t="s">
        <v>1371</v>
      </c>
      <c r="G280" s="9" t="s">
        <v>1105</v>
      </c>
    </row>
    <row r="281" customFormat="false" ht="15" hidden="false" customHeight="true" outlineLevel="0" collapsed="false">
      <c r="A281" s="9" t="s">
        <v>53</v>
      </c>
      <c r="B281" s="9" t="s">
        <v>83</v>
      </c>
      <c r="C281" s="9" t="s">
        <v>1119</v>
      </c>
      <c r="D281" s="9"/>
      <c r="E281" s="9" t="s">
        <v>51</v>
      </c>
      <c r="F281" s="19" t="s">
        <v>1385</v>
      </c>
      <c r="G281" s="9" t="s">
        <v>1104</v>
      </c>
    </row>
    <row r="282" customFormat="false" ht="15" hidden="false" customHeight="true" outlineLevel="0" collapsed="false">
      <c r="A282" s="9" t="s">
        <v>53</v>
      </c>
      <c r="B282" s="9" t="s">
        <v>83</v>
      </c>
      <c r="C282" s="9" t="s">
        <v>1120</v>
      </c>
      <c r="D282" s="9"/>
      <c r="E282" s="9" t="s">
        <v>49</v>
      </c>
      <c r="F282" s="19" t="s">
        <v>1386</v>
      </c>
      <c r="G282" s="9" t="s">
        <v>1105</v>
      </c>
    </row>
    <row r="283" customFormat="false" ht="15" hidden="false" customHeight="true" outlineLevel="0" collapsed="false">
      <c r="A283" s="9" t="s">
        <v>53</v>
      </c>
      <c r="B283" s="9" t="s">
        <v>88</v>
      </c>
      <c r="C283" s="9" t="s">
        <v>1119</v>
      </c>
      <c r="D283" s="9"/>
      <c r="E283" s="9" t="s">
        <v>51</v>
      </c>
      <c r="F283" s="19" t="s">
        <v>1387</v>
      </c>
      <c r="G283" s="9" t="s">
        <v>1104</v>
      </c>
    </row>
    <row r="284" customFormat="false" ht="15" hidden="false" customHeight="true" outlineLevel="0" collapsed="false">
      <c r="A284" s="9" t="s">
        <v>53</v>
      </c>
      <c r="B284" s="9" t="s">
        <v>88</v>
      </c>
      <c r="C284" s="9" t="s">
        <v>1120</v>
      </c>
      <c r="D284" s="9"/>
      <c r="E284" s="9" t="s">
        <v>51</v>
      </c>
      <c r="F284" s="19" t="s">
        <v>1388</v>
      </c>
      <c r="G284" s="9" t="s">
        <v>1105</v>
      </c>
    </row>
    <row r="285" customFormat="false" ht="15" hidden="false" customHeight="true" outlineLevel="0" collapsed="false">
      <c r="A285" s="9" t="s">
        <v>53</v>
      </c>
      <c r="B285" s="9" t="s">
        <v>91</v>
      </c>
      <c r="C285" s="9" t="s">
        <v>1119</v>
      </c>
      <c r="D285" s="9"/>
      <c r="E285" s="9" t="s">
        <v>58</v>
      </c>
      <c r="F285" s="19" t="s">
        <v>1389</v>
      </c>
      <c r="G285" s="9" t="s">
        <v>1104</v>
      </c>
    </row>
    <row r="286" customFormat="false" ht="15" hidden="false" customHeight="true" outlineLevel="0" collapsed="false">
      <c r="A286" s="9" t="s">
        <v>53</v>
      </c>
      <c r="B286" s="9" t="s">
        <v>91</v>
      </c>
      <c r="C286" s="9" t="s">
        <v>1120</v>
      </c>
      <c r="D286" s="9"/>
      <c r="E286" s="9" t="s">
        <v>49</v>
      </c>
      <c r="F286" s="19" t="s">
        <v>1390</v>
      </c>
      <c r="G286" s="9" t="s">
        <v>1105</v>
      </c>
    </row>
    <row r="287" customFormat="false" ht="15" hidden="false" customHeight="true" outlineLevel="0" collapsed="false">
      <c r="A287" s="9" t="s">
        <v>53</v>
      </c>
      <c r="B287" s="9" t="s">
        <v>94</v>
      </c>
      <c r="C287" s="9" t="s">
        <v>1119</v>
      </c>
      <c r="D287" s="9"/>
      <c r="E287" s="9" t="s">
        <v>52</v>
      </c>
      <c r="F287" s="19" t="s">
        <v>1391</v>
      </c>
      <c r="G287" s="9" t="s">
        <v>1104</v>
      </c>
    </row>
    <row r="288" customFormat="false" ht="15" hidden="false" customHeight="true" outlineLevel="0" collapsed="false">
      <c r="A288" s="9" t="s">
        <v>53</v>
      </c>
      <c r="B288" s="9" t="s">
        <v>94</v>
      </c>
      <c r="C288" s="9" t="s">
        <v>1120</v>
      </c>
      <c r="D288" s="9"/>
      <c r="E288" s="9" t="s">
        <v>49</v>
      </c>
      <c r="F288" s="19" t="s">
        <v>1392</v>
      </c>
      <c r="G288" s="9" t="s">
        <v>1105</v>
      </c>
    </row>
    <row r="289" customFormat="false" ht="15" hidden="false" customHeight="true" outlineLevel="0" collapsed="false">
      <c r="A289" s="9" t="s">
        <v>53</v>
      </c>
      <c r="B289" s="9" t="s">
        <v>97</v>
      </c>
      <c r="C289" s="9" t="s">
        <v>1119</v>
      </c>
      <c r="D289" s="9"/>
      <c r="E289" s="9" t="s">
        <v>52</v>
      </c>
      <c r="F289" s="19" t="s">
        <v>1393</v>
      </c>
      <c r="G289" s="9" t="s">
        <v>1104</v>
      </c>
    </row>
    <row r="290" customFormat="false" ht="15" hidden="false" customHeight="true" outlineLevel="0" collapsed="false">
      <c r="A290" s="9" t="s">
        <v>53</v>
      </c>
      <c r="B290" s="9" t="s">
        <v>97</v>
      </c>
      <c r="C290" s="9" t="s">
        <v>1120</v>
      </c>
      <c r="D290" s="9"/>
      <c r="E290" s="9" t="s">
        <v>49</v>
      </c>
      <c r="F290" s="19" t="s">
        <v>1394</v>
      </c>
      <c r="G290" s="9" t="s">
        <v>1105</v>
      </c>
    </row>
    <row r="291" customFormat="false" ht="15" hidden="false" customHeight="true" outlineLevel="0" collapsed="false">
      <c r="A291" s="9" t="s">
        <v>53</v>
      </c>
      <c r="B291" s="9" t="s">
        <v>100</v>
      </c>
      <c r="C291" s="9" t="s">
        <v>1119</v>
      </c>
      <c r="D291" s="9"/>
      <c r="E291" s="9" t="s">
        <v>52</v>
      </c>
      <c r="F291" s="19" t="s">
        <v>1395</v>
      </c>
      <c r="G291" s="9" t="s">
        <v>1104</v>
      </c>
    </row>
    <row r="292" customFormat="false" ht="15" hidden="false" customHeight="true" outlineLevel="0" collapsed="false">
      <c r="A292" s="9" t="s">
        <v>53</v>
      </c>
      <c r="B292" s="9" t="s">
        <v>100</v>
      </c>
      <c r="C292" s="9" t="s">
        <v>1120</v>
      </c>
      <c r="D292" s="9"/>
      <c r="E292" s="9" t="s">
        <v>51</v>
      </c>
      <c r="F292" s="19" t="s">
        <v>1396</v>
      </c>
      <c r="G292" s="9" t="s">
        <v>1105</v>
      </c>
    </row>
    <row r="293" customFormat="false" ht="15" hidden="false" customHeight="true" outlineLevel="0" collapsed="false">
      <c r="A293" s="9" t="s">
        <v>53</v>
      </c>
      <c r="B293" s="9" t="s">
        <v>104</v>
      </c>
      <c r="C293" s="9" t="s">
        <v>1119</v>
      </c>
      <c r="D293" s="9"/>
      <c r="E293" s="9" t="s">
        <v>51</v>
      </c>
      <c r="F293" s="19" t="s">
        <v>1397</v>
      </c>
      <c r="G293" s="9" t="s">
        <v>1104</v>
      </c>
    </row>
    <row r="294" customFormat="false" ht="15" hidden="false" customHeight="true" outlineLevel="0" collapsed="false">
      <c r="A294" s="9" t="s">
        <v>53</v>
      </c>
      <c r="B294" s="9" t="s">
        <v>104</v>
      </c>
      <c r="C294" s="9" t="s">
        <v>1120</v>
      </c>
      <c r="D294" s="9"/>
      <c r="E294" s="9" t="s">
        <v>52</v>
      </c>
      <c r="F294" s="19" t="s">
        <v>1375</v>
      </c>
      <c r="G294" s="9" t="s">
        <v>1105</v>
      </c>
    </row>
    <row r="295" customFormat="false" ht="15" hidden="false" customHeight="true" outlineLevel="0" collapsed="false">
      <c r="A295" s="9" t="s">
        <v>53</v>
      </c>
      <c r="B295" s="9" t="s">
        <v>107</v>
      </c>
      <c r="C295" s="9" t="s">
        <v>1119</v>
      </c>
      <c r="D295" s="9"/>
      <c r="E295" s="9" t="s">
        <v>52</v>
      </c>
      <c r="F295" s="19" t="s">
        <v>1398</v>
      </c>
      <c r="G295" s="9" t="s">
        <v>1104</v>
      </c>
    </row>
    <row r="296" customFormat="false" ht="15" hidden="false" customHeight="true" outlineLevel="0" collapsed="false">
      <c r="A296" s="9" t="s">
        <v>53</v>
      </c>
      <c r="B296" s="9" t="s">
        <v>107</v>
      </c>
      <c r="C296" s="9" t="s">
        <v>1120</v>
      </c>
      <c r="D296" s="9"/>
      <c r="E296" s="9" t="s">
        <v>50</v>
      </c>
      <c r="F296" s="19" t="s">
        <v>1399</v>
      </c>
      <c r="G296" s="9" t="s">
        <v>1105</v>
      </c>
    </row>
    <row r="297" customFormat="false" ht="15" hidden="false" customHeight="true" outlineLevel="0" collapsed="false">
      <c r="A297" s="9" t="s">
        <v>53</v>
      </c>
      <c r="B297" s="9" t="s">
        <v>111</v>
      </c>
      <c r="C297" s="9" t="s">
        <v>1119</v>
      </c>
      <c r="D297" s="9"/>
      <c r="E297" s="9" t="s">
        <v>49</v>
      </c>
      <c r="F297" s="19" t="s">
        <v>1400</v>
      </c>
      <c r="G297" s="9" t="s">
        <v>1104</v>
      </c>
    </row>
    <row r="298" customFormat="false" ht="15" hidden="false" customHeight="true" outlineLevel="0" collapsed="false">
      <c r="A298" s="9" t="s">
        <v>53</v>
      </c>
      <c r="B298" s="9" t="s">
        <v>111</v>
      </c>
      <c r="C298" s="9" t="s">
        <v>1120</v>
      </c>
      <c r="D298" s="9"/>
      <c r="E298" s="9" t="s">
        <v>50</v>
      </c>
      <c r="F298" s="19" t="s">
        <v>1401</v>
      </c>
      <c r="G298" s="9" t="s">
        <v>1105</v>
      </c>
    </row>
    <row r="299" customFormat="false" ht="15" hidden="false" customHeight="true" outlineLevel="0" collapsed="false">
      <c r="A299" s="9" t="s">
        <v>53</v>
      </c>
      <c r="B299" s="9" t="s">
        <v>114</v>
      </c>
      <c r="C299" s="9" t="s">
        <v>1119</v>
      </c>
      <c r="D299" s="9"/>
      <c r="E299" s="9" t="s">
        <v>51</v>
      </c>
      <c r="F299" s="19" t="s">
        <v>1402</v>
      </c>
      <c r="G299" s="9" t="s">
        <v>1104</v>
      </c>
    </row>
    <row r="300" customFormat="false" ht="15" hidden="false" customHeight="true" outlineLevel="0" collapsed="false">
      <c r="A300" s="9" t="s">
        <v>53</v>
      </c>
      <c r="B300" s="9" t="s">
        <v>114</v>
      </c>
      <c r="C300" s="9" t="s">
        <v>1120</v>
      </c>
      <c r="D300" s="9"/>
      <c r="E300" s="9" t="s">
        <v>49</v>
      </c>
      <c r="F300" s="19" t="s">
        <v>1390</v>
      </c>
      <c r="G300" s="9" t="s">
        <v>1105</v>
      </c>
    </row>
    <row r="301" customFormat="false" ht="15" hidden="false" customHeight="true" outlineLevel="0" collapsed="false">
      <c r="A301" s="9" t="s">
        <v>53</v>
      </c>
      <c r="B301" s="9" t="s">
        <v>117</v>
      </c>
      <c r="C301" s="9" t="s">
        <v>1119</v>
      </c>
      <c r="D301" s="9"/>
      <c r="E301" s="9" t="s">
        <v>52</v>
      </c>
      <c r="F301" s="19" t="s">
        <v>1403</v>
      </c>
      <c r="G301" s="9" t="s">
        <v>1104</v>
      </c>
    </row>
    <row r="302" customFormat="false" ht="15" hidden="false" customHeight="true" outlineLevel="0" collapsed="false">
      <c r="A302" s="9" t="s">
        <v>53</v>
      </c>
      <c r="B302" s="9" t="s">
        <v>117</v>
      </c>
      <c r="C302" s="9" t="s">
        <v>1120</v>
      </c>
      <c r="D302" s="9"/>
      <c r="E302" s="9" t="s">
        <v>52</v>
      </c>
      <c r="F302" s="19" t="s">
        <v>1404</v>
      </c>
      <c r="G302" s="9" t="s">
        <v>1105</v>
      </c>
    </row>
    <row r="303" customFormat="false" ht="15" hidden="false" customHeight="true" outlineLevel="0" collapsed="false">
      <c r="A303" s="9" t="s">
        <v>53</v>
      </c>
      <c r="B303" s="9" t="s">
        <v>120</v>
      </c>
      <c r="C303" s="9" t="s">
        <v>1119</v>
      </c>
      <c r="D303" s="9"/>
      <c r="E303" s="9" t="s">
        <v>51</v>
      </c>
      <c r="F303" s="19" t="s">
        <v>1405</v>
      </c>
      <c r="G303" s="9" t="s">
        <v>1104</v>
      </c>
    </row>
    <row r="304" customFormat="false" ht="15" hidden="false" customHeight="true" outlineLevel="0" collapsed="false">
      <c r="A304" s="9" t="s">
        <v>53</v>
      </c>
      <c r="B304" s="9" t="s">
        <v>120</v>
      </c>
      <c r="C304" s="9" t="s">
        <v>1120</v>
      </c>
      <c r="D304" s="9"/>
      <c r="E304" s="9" t="s">
        <v>49</v>
      </c>
      <c r="F304" s="19" t="s">
        <v>1406</v>
      </c>
      <c r="G304" s="9" t="s">
        <v>1105</v>
      </c>
    </row>
    <row r="305" customFormat="false" ht="15" hidden="false" customHeight="true" outlineLevel="0" collapsed="false">
      <c r="A305" s="9" t="s">
        <v>53</v>
      </c>
      <c r="B305" s="9" t="s">
        <v>123</v>
      </c>
      <c r="C305" s="9" t="s">
        <v>1119</v>
      </c>
      <c r="D305" s="9"/>
      <c r="E305" s="9" t="s">
        <v>58</v>
      </c>
      <c r="F305" s="19" t="s">
        <v>1407</v>
      </c>
      <c r="G305" s="9" t="s">
        <v>1104</v>
      </c>
    </row>
    <row r="306" customFormat="false" ht="15" hidden="false" customHeight="true" outlineLevel="0" collapsed="false">
      <c r="A306" s="9" t="s">
        <v>53</v>
      </c>
      <c r="B306" s="9" t="s">
        <v>123</v>
      </c>
      <c r="C306" s="9" t="s">
        <v>1120</v>
      </c>
      <c r="D306" s="9"/>
      <c r="E306" s="9" t="s">
        <v>52</v>
      </c>
      <c r="F306" s="19" t="s">
        <v>1408</v>
      </c>
      <c r="G306" s="9" t="s">
        <v>1105</v>
      </c>
    </row>
    <row r="307" customFormat="false" ht="15" hidden="false" customHeight="true" outlineLevel="0" collapsed="false">
      <c r="A307" s="9" t="s">
        <v>53</v>
      </c>
      <c r="B307" s="9" t="s">
        <v>126</v>
      </c>
      <c r="C307" s="9" t="s">
        <v>1119</v>
      </c>
      <c r="D307" s="9"/>
      <c r="E307" s="9" t="s">
        <v>51</v>
      </c>
      <c r="F307" s="19" t="s">
        <v>1409</v>
      </c>
      <c r="G307" s="9" t="s">
        <v>1104</v>
      </c>
    </row>
    <row r="308" customFormat="false" ht="23.25" hidden="false" customHeight="true" outlineLevel="0" collapsed="false">
      <c r="A308" s="9" t="s">
        <v>53</v>
      </c>
      <c r="B308" s="9" t="s">
        <v>126</v>
      </c>
      <c r="C308" s="9" t="s">
        <v>1120</v>
      </c>
      <c r="D308" s="9"/>
      <c r="E308" s="9" t="s">
        <v>50</v>
      </c>
      <c r="F308" s="19" t="s">
        <v>1410</v>
      </c>
      <c r="G308" s="9" t="s">
        <v>1105</v>
      </c>
    </row>
    <row r="309" customFormat="false" ht="15" hidden="false" customHeight="true" outlineLevel="0" collapsed="false">
      <c r="A309" s="9" t="s">
        <v>53</v>
      </c>
      <c r="B309" s="9" t="s">
        <v>129</v>
      </c>
      <c r="C309" s="9" t="s">
        <v>1119</v>
      </c>
      <c r="D309" s="9"/>
      <c r="E309" s="9" t="s">
        <v>72</v>
      </c>
      <c r="F309" s="19" t="s">
        <v>1411</v>
      </c>
      <c r="G309" s="9" t="s">
        <v>1104</v>
      </c>
    </row>
    <row r="310" customFormat="false" ht="15" hidden="false" customHeight="true" outlineLevel="0" collapsed="false">
      <c r="A310" s="9" t="s">
        <v>53</v>
      </c>
      <c r="B310" s="9" t="s">
        <v>129</v>
      </c>
      <c r="C310" s="9" t="s">
        <v>1120</v>
      </c>
      <c r="D310" s="9"/>
      <c r="E310" s="9" t="s">
        <v>49</v>
      </c>
      <c r="F310" s="19" t="s">
        <v>1412</v>
      </c>
      <c r="G310" s="9" t="s">
        <v>1105</v>
      </c>
    </row>
    <row r="311" customFormat="false" ht="15" hidden="false" customHeight="true" outlineLevel="0" collapsed="false">
      <c r="A311" s="9" t="s">
        <v>53</v>
      </c>
      <c r="B311" s="9" t="s">
        <v>132</v>
      </c>
      <c r="C311" s="9" t="s">
        <v>1119</v>
      </c>
      <c r="D311" s="9"/>
      <c r="E311" s="9" t="s">
        <v>58</v>
      </c>
      <c r="F311" s="19" t="s">
        <v>1413</v>
      </c>
      <c r="G311" s="9" t="s">
        <v>1104</v>
      </c>
    </row>
    <row r="312" customFormat="false" ht="15" hidden="false" customHeight="true" outlineLevel="0" collapsed="false">
      <c r="A312" s="9" t="s">
        <v>53</v>
      </c>
      <c r="B312" s="9" t="s">
        <v>132</v>
      </c>
      <c r="C312" s="9" t="s">
        <v>1120</v>
      </c>
      <c r="D312" s="9"/>
      <c r="E312" s="9" t="s">
        <v>49</v>
      </c>
      <c r="F312" s="19" t="s">
        <v>1414</v>
      </c>
      <c r="G312" s="9" t="s">
        <v>1105</v>
      </c>
    </row>
    <row r="313" customFormat="false" ht="15" hidden="false" customHeight="true" outlineLevel="0" collapsed="false">
      <c r="A313" s="9" t="s">
        <v>53</v>
      </c>
      <c r="B313" s="9" t="s">
        <v>135</v>
      </c>
      <c r="C313" s="9" t="s">
        <v>1119</v>
      </c>
      <c r="D313" s="9"/>
      <c r="E313" s="9" t="s">
        <v>58</v>
      </c>
      <c r="F313" s="19" t="s">
        <v>1415</v>
      </c>
      <c r="G313" s="9" t="s">
        <v>1104</v>
      </c>
    </row>
    <row r="314" customFormat="false" ht="15" hidden="false" customHeight="true" outlineLevel="0" collapsed="false">
      <c r="A314" s="9" t="s">
        <v>53</v>
      </c>
      <c r="B314" s="9" t="s">
        <v>135</v>
      </c>
      <c r="C314" s="9" t="s">
        <v>1120</v>
      </c>
      <c r="D314" s="9"/>
      <c r="E314" s="9" t="s">
        <v>49</v>
      </c>
      <c r="F314" s="19" t="s">
        <v>1416</v>
      </c>
      <c r="G314" s="9" t="s">
        <v>1105</v>
      </c>
    </row>
    <row r="315" customFormat="false" ht="15" hidden="false" customHeight="true" outlineLevel="0" collapsed="false">
      <c r="A315" s="9" t="s">
        <v>53</v>
      </c>
      <c r="B315" s="9" t="s">
        <v>138</v>
      </c>
      <c r="C315" s="9" t="s">
        <v>1119</v>
      </c>
      <c r="D315" s="9"/>
      <c r="E315" s="9" t="s">
        <v>58</v>
      </c>
      <c r="F315" s="19" t="s">
        <v>1417</v>
      </c>
      <c r="G315" s="9" t="s">
        <v>1104</v>
      </c>
    </row>
    <row r="316" customFormat="false" ht="15" hidden="false" customHeight="true" outlineLevel="0" collapsed="false">
      <c r="A316" s="9" t="s">
        <v>53</v>
      </c>
      <c r="B316" s="9" t="s">
        <v>138</v>
      </c>
      <c r="C316" s="9" t="s">
        <v>1120</v>
      </c>
      <c r="D316" s="9"/>
      <c r="E316" s="9" t="s">
        <v>49</v>
      </c>
      <c r="F316" s="19" t="s">
        <v>1418</v>
      </c>
      <c r="G316" s="9" t="s">
        <v>1105</v>
      </c>
    </row>
    <row r="317" customFormat="false" ht="15" hidden="false" customHeight="true" outlineLevel="0" collapsed="false">
      <c r="A317" s="9" t="s">
        <v>53</v>
      </c>
      <c r="B317" s="9" t="s">
        <v>141</v>
      </c>
      <c r="C317" s="9" t="s">
        <v>1119</v>
      </c>
      <c r="D317" s="9"/>
      <c r="E317" s="9" t="s">
        <v>72</v>
      </c>
      <c r="F317" s="19" t="s">
        <v>1419</v>
      </c>
      <c r="G317" s="9" t="s">
        <v>1104</v>
      </c>
    </row>
    <row r="318" customFormat="false" ht="15" hidden="false" customHeight="true" outlineLevel="0" collapsed="false">
      <c r="A318" s="9" t="s">
        <v>53</v>
      </c>
      <c r="B318" s="9" t="s">
        <v>141</v>
      </c>
      <c r="C318" s="9" t="s">
        <v>1120</v>
      </c>
      <c r="D318" s="9"/>
      <c r="E318" s="9" t="s">
        <v>49</v>
      </c>
      <c r="F318" s="19" t="s">
        <v>1420</v>
      </c>
      <c r="G318" s="9" t="s">
        <v>1105</v>
      </c>
    </row>
    <row r="319" customFormat="false" ht="15" hidden="false" customHeight="true" outlineLevel="0" collapsed="false">
      <c r="A319" s="9" t="s">
        <v>53</v>
      </c>
      <c r="B319" s="9" t="s">
        <v>144</v>
      </c>
      <c r="C319" s="9" t="s">
        <v>1119</v>
      </c>
      <c r="D319" s="9"/>
      <c r="E319" s="9" t="s">
        <v>51</v>
      </c>
      <c r="F319" s="19" t="s">
        <v>1421</v>
      </c>
      <c r="G319" s="9" t="s">
        <v>1104</v>
      </c>
    </row>
    <row r="320" customFormat="false" ht="15" hidden="false" customHeight="true" outlineLevel="0" collapsed="false">
      <c r="A320" s="9" t="s">
        <v>53</v>
      </c>
      <c r="B320" s="9" t="s">
        <v>144</v>
      </c>
      <c r="C320" s="9" t="s">
        <v>1120</v>
      </c>
      <c r="D320" s="9"/>
      <c r="E320" s="9" t="s">
        <v>49</v>
      </c>
      <c r="F320" s="19" t="s">
        <v>1422</v>
      </c>
      <c r="G320" s="9" t="s">
        <v>1105</v>
      </c>
    </row>
    <row r="321" customFormat="false" ht="15" hidden="false" customHeight="true" outlineLevel="0" collapsed="false">
      <c r="A321" s="9" t="s">
        <v>53</v>
      </c>
      <c r="B321" s="9" t="s">
        <v>147</v>
      </c>
      <c r="C321" s="9" t="s">
        <v>1119</v>
      </c>
      <c r="D321" s="9"/>
      <c r="E321" s="9" t="s">
        <v>51</v>
      </c>
      <c r="F321" s="19" t="s">
        <v>1423</v>
      </c>
      <c r="G321" s="9" t="s">
        <v>1104</v>
      </c>
    </row>
    <row r="322" customFormat="false" ht="15" hidden="false" customHeight="true" outlineLevel="0" collapsed="false">
      <c r="A322" s="9" t="s">
        <v>53</v>
      </c>
      <c r="B322" s="9" t="s">
        <v>147</v>
      </c>
      <c r="C322" s="9" t="s">
        <v>1120</v>
      </c>
      <c r="D322" s="9"/>
      <c r="E322" s="9" t="s">
        <v>51</v>
      </c>
      <c r="F322" s="19" t="s">
        <v>1424</v>
      </c>
      <c r="G322" s="9" t="s">
        <v>1105</v>
      </c>
    </row>
    <row r="323" customFormat="false" ht="15" hidden="false" customHeight="true" outlineLevel="0" collapsed="false">
      <c r="A323" s="9" t="s">
        <v>53</v>
      </c>
      <c r="B323" s="9" t="s">
        <v>46</v>
      </c>
      <c r="C323" s="9" t="s">
        <v>1425</v>
      </c>
      <c r="D323" s="9"/>
      <c r="E323" s="9" t="s">
        <v>49</v>
      </c>
      <c r="F323" s="19" t="s">
        <v>1426</v>
      </c>
      <c r="G323" s="9" t="s">
        <v>1427</v>
      </c>
    </row>
    <row r="324" customFormat="false" ht="15" hidden="false" customHeight="true" outlineLevel="0" collapsed="false">
      <c r="A324" s="9" t="s">
        <v>53</v>
      </c>
      <c r="B324" s="9" t="s">
        <v>46</v>
      </c>
      <c r="C324" s="9" t="s">
        <v>1117</v>
      </c>
      <c r="D324" s="9"/>
      <c r="E324" s="9" t="s">
        <v>50</v>
      </c>
      <c r="F324" s="19" t="s">
        <v>1428</v>
      </c>
      <c r="G324" s="9" t="s">
        <v>1427</v>
      </c>
    </row>
    <row r="325" customFormat="false" ht="15" hidden="false" customHeight="true" outlineLevel="0" collapsed="false">
      <c r="A325" s="9" t="s">
        <v>53</v>
      </c>
      <c r="B325" s="9" t="s">
        <v>46</v>
      </c>
      <c r="C325" s="9" t="s">
        <v>1429</v>
      </c>
      <c r="D325" s="9"/>
      <c r="E325" s="9" t="s">
        <v>49</v>
      </c>
      <c r="F325" s="19" t="s">
        <v>1430</v>
      </c>
      <c r="G325" s="9" t="s">
        <v>1427</v>
      </c>
    </row>
    <row r="326" customFormat="false" ht="15" hidden="false" customHeight="true" outlineLevel="0" collapsed="false">
      <c r="A326" s="9" t="s">
        <v>53</v>
      </c>
      <c r="B326" s="9" t="s">
        <v>55</v>
      </c>
      <c r="C326" s="9" t="s">
        <v>1425</v>
      </c>
      <c r="D326" s="9"/>
      <c r="E326" s="9" t="s">
        <v>49</v>
      </c>
      <c r="F326" s="19" t="s">
        <v>1428</v>
      </c>
      <c r="G326" s="9" t="s">
        <v>1427</v>
      </c>
    </row>
    <row r="327" customFormat="false" ht="15" hidden="false" customHeight="true" outlineLevel="0" collapsed="false">
      <c r="A327" s="9" t="s">
        <v>53</v>
      </c>
      <c r="B327" s="9" t="s">
        <v>55</v>
      </c>
      <c r="C327" s="9" t="s">
        <v>1117</v>
      </c>
      <c r="D327" s="9"/>
      <c r="E327" s="9" t="s">
        <v>50</v>
      </c>
      <c r="F327" s="19" t="s">
        <v>1428</v>
      </c>
      <c r="G327" s="9" t="s">
        <v>1427</v>
      </c>
    </row>
    <row r="328" customFormat="false" ht="15" hidden="false" customHeight="true" outlineLevel="0" collapsed="false">
      <c r="A328" s="9" t="s">
        <v>53</v>
      </c>
      <c r="B328" s="9" t="s">
        <v>55</v>
      </c>
      <c r="C328" s="9" t="s">
        <v>1429</v>
      </c>
      <c r="D328" s="9"/>
      <c r="E328" s="9" t="s">
        <v>49</v>
      </c>
      <c r="F328" s="19" t="s">
        <v>1428</v>
      </c>
      <c r="G328" s="9" t="s">
        <v>1427</v>
      </c>
    </row>
    <row r="329" customFormat="false" ht="15" hidden="false" customHeight="true" outlineLevel="0" collapsed="false">
      <c r="A329" s="9" t="s">
        <v>53</v>
      </c>
      <c r="B329" s="9" t="s">
        <v>61</v>
      </c>
      <c r="C329" s="9" t="s">
        <v>1425</v>
      </c>
      <c r="D329" s="9"/>
      <c r="E329" s="9" t="s">
        <v>49</v>
      </c>
      <c r="F329" s="19" t="s">
        <v>1428</v>
      </c>
      <c r="G329" s="9" t="s">
        <v>1427</v>
      </c>
    </row>
    <row r="330" customFormat="false" ht="15" hidden="false" customHeight="true" outlineLevel="0" collapsed="false">
      <c r="A330" s="9" t="s">
        <v>53</v>
      </c>
      <c r="B330" s="9" t="s">
        <v>61</v>
      </c>
      <c r="C330" s="9" t="s">
        <v>1117</v>
      </c>
      <c r="D330" s="9"/>
      <c r="E330" s="9" t="s">
        <v>49</v>
      </c>
      <c r="F330" s="19" t="s">
        <v>1428</v>
      </c>
      <c r="G330" s="9" t="s">
        <v>1427</v>
      </c>
    </row>
    <row r="331" customFormat="false" ht="15" hidden="false" customHeight="true" outlineLevel="0" collapsed="false">
      <c r="A331" s="9" t="s">
        <v>53</v>
      </c>
      <c r="B331" s="9" t="s">
        <v>61</v>
      </c>
      <c r="C331" s="9" t="s">
        <v>1429</v>
      </c>
      <c r="D331" s="9"/>
      <c r="E331" s="9" t="s">
        <v>49</v>
      </c>
      <c r="F331" s="19" t="s">
        <v>1428</v>
      </c>
      <c r="G331" s="9" t="s">
        <v>1427</v>
      </c>
    </row>
    <row r="332" customFormat="false" ht="15" hidden="false" customHeight="true" outlineLevel="0" collapsed="false">
      <c r="A332" s="9" t="s">
        <v>53</v>
      </c>
      <c r="B332" s="9" t="s">
        <v>64</v>
      </c>
      <c r="C332" s="9" t="s">
        <v>1425</v>
      </c>
      <c r="D332" s="9"/>
      <c r="E332" s="9" t="s">
        <v>49</v>
      </c>
      <c r="F332" s="19" t="s">
        <v>1428</v>
      </c>
      <c r="G332" s="9" t="s">
        <v>1427</v>
      </c>
    </row>
    <row r="333" customFormat="false" ht="15" hidden="false" customHeight="true" outlineLevel="0" collapsed="false">
      <c r="A333" s="9" t="s">
        <v>53</v>
      </c>
      <c r="B333" s="9" t="s">
        <v>64</v>
      </c>
      <c r="C333" s="9" t="s">
        <v>1117</v>
      </c>
      <c r="D333" s="9"/>
      <c r="E333" s="9" t="s">
        <v>1431</v>
      </c>
      <c r="F333" s="19" t="s">
        <v>1428</v>
      </c>
      <c r="G333" s="9" t="s">
        <v>1427</v>
      </c>
    </row>
    <row r="334" customFormat="false" ht="15" hidden="false" customHeight="true" outlineLevel="0" collapsed="false">
      <c r="A334" s="9" t="s">
        <v>53</v>
      </c>
      <c r="B334" s="9" t="s">
        <v>64</v>
      </c>
      <c r="C334" s="9" t="s">
        <v>1429</v>
      </c>
      <c r="D334" s="9"/>
      <c r="E334" s="9" t="s">
        <v>49</v>
      </c>
      <c r="F334" s="19" t="s">
        <v>1428</v>
      </c>
      <c r="G334" s="9" t="s">
        <v>1427</v>
      </c>
    </row>
    <row r="335" customFormat="false" ht="15" hidden="false" customHeight="true" outlineLevel="0" collapsed="false">
      <c r="A335" s="9" t="s">
        <v>53</v>
      </c>
      <c r="B335" s="9" t="s">
        <v>67</v>
      </c>
      <c r="C335" s="9" t="s">
        <v>1425</v>
      </c>
      <c r="D335" s="9"/>
      <c r="E335" s="9" t="s">
        <v>49</v>
      </c>
      <c r="F335" s="19" t="s">
        <v>1428</v>
      </c>
      <c r="G335" s="9" t="s">
        <v>1427</v>
      </c>
    </row>
    <row r="336" customFormat="false" ht="15" hidden="false" customHeight="true" outlineLevel="0" collapsed="false">
      <c r="A336" s="9" t="s">
        <v>53</v>
      </c>
      <c r="B336" s="9" t="s">
        <v>67</v>
      </c>
      <c r="C336" s="9" t="s">
        <v>1117</v>
      </c>
      <c r="D336" s="9"/>
      <c r="E336" s="9" t="s">
        <v>49</v>
      </c>
      <c r="F336" s="19" t="s">
        <v>1428</v>
      </c>
      <c r="G336" s="9" t="s">
        <v>1427</v>
      </c>
    </row>
    <row r="337" customFormat="false" ht="15" hidden="false" customHeight="true" outlineLevel="0" collapsed="false">
      <c r="A337" s="9" t="s">
        <v>53</v>
      </c>
      <c r="B337" s="9" t="s">
        <v>67</v>
      </c>
      <c r="C337" s="9" t="s">
        <v>1429</v>
      </c>
      <c r="D337" s="9"/>
      <c r="E337" s="9" t="s">
        <v>1431</v>
      </c>
      <c r="F337" s="19" t="s">
        <v>1428</v>
      </c>
      <c r="G337" s="9" t="s">
        <v>1427</v>
      </c>
    </row>
    <row r="338" customFormat="false" ht="15" hidden="false" customHeight="true" outlineLevel="0" collapsed="false">
      <c r="A338" s="9" t="s">
        <v>53</v>
      </c>
      <c r="B338" s="9" t="s">
        <v>70</v>
      </c>
      <c r="C338" s="9" t="s">
        <v>1425</v>
      </c>
      <c r="D338" s="9"/>
      <c r="E338" s="9" t="s">
        <v>49</v>
      </c>
      <c r="F338" s="19" t="s">
        <v>1428</v>
      </c>
      <c r="G338" s="9" t="s">
        <v>1427</v>
      </c>
    </row>
    <row r="339" customFormat="false" ht="15" hidden="false" customHeight="true" outlineLevel="0" collapsed="false">
      <c r="A339" s="9" t="s">
        <v>53</v>
      </c>
      <c r="B339" s="9" t="s">
        <v>70</v>
      </c>
      <c r="C339" s="9" t="s">
        <v>1117</v>
      </c>
      <c r="D339" s="9"/>
      <c r="E339" s="9" t="s">
        <v>52</v>
      </c>
      <c r="F339" s="19" t="s">
        <v>1428</v>
      </c>
      <c r="G339" s="9" t="s">
        <v>1427</v>
      </c>
    </row>
    <row r="340" customFormat="false" ht="15" hidden="false" customHeight="true" outlineLevel="0" collapsed="false">
      <c r="A340" s="9" t="s">
        <v>53</v>
      </c>
      <c r="B340" s="9" t="s">
        <v>70</v>
      </c>
      <c r="C340" s="9" t="s">
        <v>1429</v>
      </c>
      <c r="D340" s="9"/>
      <c r="E340" s="9" t="s">
        <v>49</v>
      </c>
      <c r="F340" s="19" t="s">
        <v>1428</v>
      </c>
      <c r="G340" s="9" t="s">
        <v>1427</v>
      </c>
    </row>
    <row r="341" customFormat="false" ht="15" hidden="false" customHeight="true" outlineLevel="0" collapsed="false">
      <c r="A341" s="9" t="s">
        <v>53</v>
      </c>
      <c r="B341" s="9" t="s">
        <v>74</v>
      </c>
      <c r="C341" s="9" t="s">
        <v>1425</v>
      </c>
      <c r="D341" s="9"/>
      <c r="E341" s="9" t="s">
        <v>49</v>
      </c>
      <c r="F341" s="19" t="s">
        <v>1428</v>
      </c>
      <c r="G341" s="9" t="s">
        <v>1427</v>
      </c>
    </row>
    <row r="342" customFormat="false" ht="15" hidden="false" customHeight="true" outlineLevel="0" collapsed="false">
      <c r="A342" s="9" t="s">
        <v>53</v>
      </c>
      <c r="B342" s="9" t="s">
        <v>74</v>
      </c>
      <c r="C342" s="9" t="s">
        <v>1117</v>
      </c>
      <c r="D342" s="9"/>
      <c r="E342" s="9" t="s">
        <v>49</v>
      </c>
      <c r="F342" s="19" t="s">
        <v>1428</v>
      </c>
      <c r="G342" s="9" t="s">
        <v>1427</v>
      </c>
    </row>
    <row r="343" customFormat="false" ht="15" hidden="false" customHeight="true" outlineLevel="0" collapsed="false">
      <c r="A343" s="9" t="s">
        <v>53</v>
      </c>
      <c r="B343" s="9" t="s">
        <v>74</v>
      </c>
      <c r="C343" s="9" t="s">
        <v>1429</v>
      </c>
      <c r="D343" s="9"/>
      <c r="E343" s="9" t="s">
        <v>49</v>
      </c>
      <c r="F343" s="19" t="s">
        <v>1428</v>
      </c>
      <c r="G343" s="9" t="s">
        <v>1427</v>
      </c>
    </row>
    <row r="344" customFormat="false" ht="15" hidden="false" customHeight="true" outlineLevel="0" collapsed="false">
      <c r="A344" s="9" t="s">
        <v>53</v>
      </c>
      <c r="B344" s="9" t="s">
        <v>77</v>
      </c>
      <c r="C344" s="9" t="s">
        <v>1425</v>
      </c>
      <c r="D344" s="9"/>
      <c r="E344" s="9" t="s">
        <v>49</v>
      </c>
      <c r="F344" s="19" t="s">
        <v>1428</v>
      </c>
      <c r="G344" s="9" t="s">
        <v>1427</v>
      </c>
    </row>
    <row r="345" customFormat="false" ht="15" hidden="false" customHeight="true" outlineLevel="0" collapsed="false">
      <c r="A345" s="9" t="s">
        <v>53</v>
      </c>
      <c r="B345" s="9" t="s">
        <v>77</v>
      </c>
      <c r="C345" s="9" t="s">
        <v>1117</v>
      </c>
      <c r="D345" s="9"/>
      <c r="E345" s="9" t="s">
        <v>52</v>
      </c>
      <c r="F345" s="19" t="s">
        <v>1428</v>
      </c>
      <c r="G345" s="9" t="s">
        <v>1427</v>
      </c>
    </row>
    <row r="346" customFormat="false" ht="15" hidden="false" customHeight="true" outlineLevel="0" collapsed="false">
      <c r="A346" s="9" t="s">
        <v>53</v>
      </c>
      <c r="B346" s="9" t="s">
        <v>77</v>
      </c>
      <c r="C346" s="9" t="s">
        <v>1429</v>
      </c>
      <c r="D346" s="9"/>
      <c r="E346" s="9" t="s">
        <v>49</v>
      </c>
      <c r="F346" s="19" t="s">
        <v>1428</v>
      </c>
      <c r="G346" s="9" t="s">
        <v>1427</v>
      </c>
    </row>
    <row r="347" customFormat="false" ht="15" hidden="false" customHeight="true" outlineLevel="0" collapsed="false">
      <c r="A347" s="9" t="s">
        <v>53</v>
      </c>
      <c r="B347" s="9" t="s">
        <v>80</v>
      </c>
      <c r="C347" s="9" t="s">
        <v>1425</v>
      </c>
      <c r="D347" s="9"/>
      <c r="E347" s="9" t="s">
        <v>49</v>
      </c>
      <c r="F347" s="19" t="s">
        <v>1428</v>
      </c>
      <c r="G347" s="9" t="s">
        <v>1427</v>
      </c>
    </row>
    <row r="348" customFormat="false" ht="15" hidden="false" customHeight="true" outlineLevel="0" collapsed="false">
      <c r="A348" s="9" t="s">
        <v>53</v>
      </c>
      <c r="B348" s="9" t="s">
        <v>80</v>
      </c>
      <c r="C348" s="9" t="s">
        <v>1117</v>
      </c>
      <c r="D348" s="9"/>
      <c r="E348" s="9" t="s">
        <v>52</v>
      </c>
      <c r="F348" s="19" t="s">
        <v>1428</v>
      </c>
      <c r="G348" s="9" t="s">
        <v>1427</v>
      </c>
    </row>
    <row r="349" customFormat="false" ht="15" hidden="false" customHeight="true" outlineLevel="0" collapsed="false">
      <c r="A349" s="9" t="s">
        <v>53</v>
      </c>
      <c r="B349" s="9" t="s">
        <v>80</v>
      </c>
      <c r="C349" s="9" t="s">
        <v>1429</v>
      </c>
      <c r="D349" s="9"/>
      <c r="E349" s="9" t="s">
        <v>49</v>
      </c>
      <c r="F349" s="19" t="s">
        <v>1428</v>
      </c>
      <c r="G349" s="9" t="s">
        <v>1427</v>
      </c>
    </row>
    <row r="350" customFormat="false" ht="15" hidden="false" customHeight="true" outlineLevel="0" collapsed="false">
      <c r="A350" s="9" t="s">
        <v>53</v>
      </c>
      <c r="B350" s="9" t="s">
        <v>83</v>
      </c>
      <c r="C350" s="9" t="s">
        <v>1425</v>
      </c>
      <c r="D350" s="9"/>
      <c r="E350" s="9" t="s">
        <v>49</v>
      </c>
      <c r="F350" s="19" t="s">
        <v>1428</v>
      </c>
      <c r="G350" s="9" t="s">
        <v>1427</v>
      </c>
    </row>
    <row r="351" customFormat="false" ht="15" hidden="false" customHeight="true" outlineLevel="0" collapsed="false">
      <c r="A351" s="9" t="s">
        <v>53</v>
      </c>
      <c r="B351" s="9" t="s">
        <v>83</v>
      </c>
      <c r="C351" s="9" t="s">
        <v>1117</v>
      </c>
      <c r="D351" s="9"/>
      <c r="E351" s="9" t="s">
        <v>50</v>
      </c>
      <c r="F351" s="19" t="s">
        <v>1428</v>
      </c>
      <c r="G351" s="9" t="s">
        <v>1427</v>
      </c>
    </row>
    <row r="352" customFormat="false" ht="15" hidden="false" customHeight="true" outlineLevel="0" collapsed="false">
      <c r="A352" s="9" t="s">
        <v>53</v>
      </c>
      <c r="B352" s="9" t="s">
        <v>83</v>
      </c>
      <c r="C352" s="9" t="s">
        <v>1429</v>
      </c>
      <c r="D352" s="9"/>
      <c r="E352" s="9" t="s">
        <v>1431</v>
      </c>
      <c r="F352" s="19" t="s">
        <v>1428</v>
      </c>
      <c r="G352" s="9" t="s">
        <v>1427</v>
      </c>
    </row>
    <row r="353" customFormat="false" ht="15" hidden="false" customHeight="true" outlineLevel="0" collapsed="false">
      <c r="A353" s="9" t="s">
        <v>53</v>
      </c>
      <c r="B353" s="9" t="s">
        <v>86</v>
      </c>
      <c r="C353" s="9" t="s">
        <v>1425</v>
      </c>
      <c r="D353" s="9"/>
      <c r="E353" s="9" t="s">
        <v>49</v>
      </c>
      <c r="F353" s="19" t="s">
        <v>1428</v>
      </c>
      <c r="G353" s="9" t="s">
        <v>1427</v>
      </c>
    </row>
    <row r="354" customFormat="false" ht="15" hidden="false" customHeight="true" outlineLevel="0" collapsed="false">
      <c r="A354" s="9" t="s">
        <v>53</v>
      </c>
      <c r="B354" s="9" t="s">
        <v>86</v>
      </c>
      <c r="C354" s="9" t="s">
        <v>1117</v>
      </c>
      <c r="D354" s="9"/>
      <c r="E354" s="9" t="s">
        <v>1431</v>
      </c>
      <c r="F354" s="19" t="s">
        <v>1428</v>
      </c>
      <c r="G354" s="9" t="s">
        <v>1427</v>
      </c>
    </row>
    <row r="355" customFormat="false" ht="15" hidden="false" customHeight="true" outlineLevel="0" collapsed="false">
      <c r="A355" s="9" t="s">
        <v>53</v>
      </c>
      <c r="B355" s="9" t="s">
        <v>86</v>
      </c>
      <c r="C355" s="9" t="s">
        <v>1429</v>
      </c>
      <c r="D355" s="9"/>
      <c r="E355" s="9" t="s">
        <v>1431</v>
      </c>
      <c r="F355" s="19" t="s">
        <v>1428</v>
      </c>
      <c r="G355" s="9" t="s">
        <v>1427</v>
      </c>
    </row>
    <row r="356" customFormat="false" ht="15" hidden="false" customHeight="true" outlineLevel="0" collapsed="false">
      <c r="A356" s="9" t="s">
        <v>53</v>
      </c>
      <c r="B356" s="9" t="s">
        <v>88</v>
      </c>
      <c r="C356" s="9" t="s">
        <v>1425</v>
      </c>
      <c r="D356" s="9"/>
      <c r="E356" s="9" t="s">
        <v>49</v>
      </c>
      <c r="F356" s="19" t="s">
        <v>1428</v>
      </c>
      <c r="G356" s="9" t="s">
        <v>1427</v>
      </c>
    </row>
    <row r="357" customFormat="false" ht="15" hidden="false" customHeight="true" outlineLevel="0" collapsed="false">
      <c r="A357" s="9" t="s">
        <v>53</v>
      </c>
      <c r="B357" s="9" t="s">
        <v>88</v>
      </c>
      <c r="C357" s="9" t="s">
        <v>1117</v>
      </c>
      <c r="D357" s="9"/>
      <c r="E357" s="9" t="s">
        <v>52</v>
      </c>
      <c r="F357" s="19" t="s">
        <v>1428</v>
      </c>
      <c r="G357" s="9" t="s">
        <v>1427</v>
      </c>
    </row>
    <row r="358" customFormat="false" ht="15" hidden="false" customHeight="true" outlineLevel="0" collapsed="false">
      <c r="A358" s="9" t="s">
        <v>53</v>
      </c>
      <c r="B358" s="9" t="s">
        <v>88</v>
      </c>
      <c r="C358" s="9" t="s">
        <v>1429</v>
      </c>
      <c r="D358" s="9"/>
      <c r="E358" s="9" t="s">
        <v>1431</v>
      </c>
      <c r="F358" s="19" t="s">
        <v>1428</v>
      </c>
      <c r="G358" s="9" t="s">
        <v>1427</v>
      </c>
    </row>
    <row r="359" customFormat="false" ht="15" hidden="false" customHeight="true" outlineLevel="0" collapsed="false">
      <c r="A359" s="9" t="s">
        <v>53</v>
      </c>
      <c r="B359" s="9" t="s">
        <v>91</v>
      </c>
      <c r="C359" s="9" t="s">
        <v>1425</v>
      </c>
      <c r="D359" s="9"/>
      <c r="E359" s="9" t="s">
        <v>49</v>
      </c>
      <c r="F359" s="19" t="s">
        <v>1428</v>
      </c>
      <c r="G359" s="9" t="s">
        <v>1427</v>
      </c>
    </row>
    <row r="360" customFormat="false" ht="15" hidden="false" customHeight="true" outlineLevel="0" collapsed="false">
      <c r="A360" s="9" t="s">
        <v>53</v>
      </c>
      <c r="B360" s="9" t="s">
        <v>91</v>
      </c>
      <c r="C360" s="9" t="s">
        <v>1117</v>
      </c>
      <c r="D360" s="9"/>
      <c r="E360" s="9" t="s">
        <v>49</v>
      </c>
      <c r="F360" s="19" t="s">
        <v>1428</v>
      </c>
      <c r="G360" s="9" t="s">
        <v>1427</v>
      </c>
    </row>
    <row r="361" customFormat="false" ht="15" hidden="false" customHeight="true" outlineLevel="0" collapsed="false">
      <c r="A361" s="9" t="s">
        <v>53</v>
      </c>
      <c r="B361" s="9" t="s">
        <v>91</v>
      </c>
      <c r="C361" s="9" t="s">
        <v>1429</v>
      </c>
      <c r="D361" s="9"/>
      <c r="E361" s="9" t="s">
        <v>1431</v>
      </c>
      <c r="F361" s="19" t="s">
        <v>1428</v>
      </c>
      <c r="G361" s="9" t="s">
        <v>1427</v>
      </c>
    </row>
    <row r="362" customFormat="false" ht="15" hidden="false" customHeight="true" outlineLevel="0" collapsed="false">
      <c r="A362" s="9" t="s">
        <v>53</v>
      </c>
      <c r="B362" s="9" t="s">
        <v>94</v>
      </c>
      <c r="C362" s="9" t="s">
        <v>1425</v>
      </c>
      <c r="D362" s="9"/>
      <c r="E362" s="9" t="s">
        <v>49</v>
      </c>
      <c r="F362" s="19" t="s">
        <v>1428</v>
      </c>
      <c r="G362" s="9" t="s">
        <v>1427</v>
      </c>
    </row>
    <row r="363" customFormat="false" ht="15" hidden="false" customHeight="true" outlineLevel="0" collapsed="false">
      <c r="A363" s="9" t="s">
        <v>53</v>
      </c>
      <c r="B363" s="9" t="s">
        <v>94</v>
      </c>
      <c r="C363" s="9" t="s">
        <v>1117</v>
      </c>
      <c r="D363" s="9"/>
      <c r="E363" s="9" t="s">
        <v>50</v>
      </c>
      <c r="F363" s="19" t="s">
        <v>1428</v>
      </c>
      <c r="G363" s="9" t="s">
        <v>1427</v>
      </c>
    </row>
    <row r="364" customFormat="false" ht="15" hidden="false" customHeight="true" outlineLevel="0" collapsed="false">
      <c r="A364" s="9" t="s">
        <v>53</v>
      </c>
      <c r="B364" s="9" t="s">
        <v>94</v>
      </c>
      <c r="C364" s="9" t="s">
        <v>1429</v>
      </c>
      <c r="D364" s="9"/>
      <c r="E364" s="9" t="s">
        <v>1431</v>
      </c>
      <c r="F364" s="19" t="s">
        <v>1428</v>
      </c>
      <c r="G364" s="9" t="s">
        <v>1427</v>
      </c>
    </row>
    <row r="365" customFormat="false" ht="15" hidden="false" customHeight="true" outlineLevel="0" collapsed="false">
      <c r="A365" s="9" t="s">
        <v>53</v>
      </c>
      <c r="B365" s="9" t="s">
        <v>97</v>
      </c>
      <c r="C365" s="9" t="s">
        <v>1425</v>
      </c>
      <c r="D365" s="9"/>
      <c r="E365" s="9" t="s">
        <v>49</v>
      </c>
      <c r="F365" s="19" t="s">
        <v>1428</v>
      </c>
      <c r="G365" s="9" t="s">
        <v>1427</v>
      </c>
    </row>
    <row r="366" customFormat="false" ht="15" hidden="false" customHeight="true" outlineLevel="0" collapsed="false">
      <c r="A366" s="9" t="s">
        <v>53</v>
      </c>
      <c r="B366" s="9" t="s">
        <v>97</v>
      </c>
      <c r="C366" s="9" t="s">
        <v>1117</v>
      </c>
      <c r="D366" s="9"/>
      <c r="E366" s="9" t="s">
        <v>50</v>
      </c>
      <c r="F366" s="19" t="s">
        <v>1428</v>
      </c>
      <c r="G366" s="9" t="s">
        <v>1427</v>
      </c>
    </row>
    <row r="367" customFormat="false" ht="15" hidden="false" customHeight="true" outlineLevel="0" collapsed="false">
      <c r="A367" s="9" t="s">
        <v>53</v>
      </c>
      <c r="B367" s="9" t="s">
        <v>97</v>
      </c>
      <c r="C367" s="9" t="s">
        <v>1429</v>
      </c>
      <c r="D367" s="9"/>
      <c r="E367" s="9" t="s">
        <v>1431</v>
      </c>
      <c r="F367" s="19" t="s">
        <v>1428</v>
      </c>
      <c r="G367" s="9" t="s">
        <v>1427</v>
      </c>
    </row>
    <row r="368" customFormat="false" ht="15" hidden="false" customHeight="true" outlineLevel="0" collapsed="false">
      <c r="A368" s="9" t="s">
        <v>53</v>
      </c>
      <c r="B368" s="9" t="s">
        <v>100</v>
      </c>
      <c r="C368" s="9" t="s">
        <v>1425</v>
      </c>
      <c r="D368" s="9"/>
      <c r="E368" s="9" t="s">
        <v>72</v>
      </c>
      <c r="F368" s="19" t="s">
        <v>1428</v>
      </c>
      <c r="G368" s="9" t="s">
        <v>1427</v>
      </c>
    </row>
    <row r="369" customFormat="false" ht="15" hidden="false" customHeight="true" outlineLevel="0" collapsed="false">
      <c r="A369" s="9" t="s">
        <v>53</v>
      </c>
      <c r="B369" s="9" t="s">
        <v>100</v>
      </c>
      <c r="C369" s="9" t="s">
        <v>1117</v>
      </c>
      <c r="D369" s="9"/>
      <c r="E369" s="9" t="s">
        <v>50</v>
      </c>
      <c r="F369" s="19" t="s">
        <v>1428</v>
      </c>
      <c r="G369" s="9" t="s">
        <v>1427</v>
      </c>
    </row>
    <row r="370" customFormat="false" ht="15" hidden="false" customHeight="true" outlineLevel="0" collapsed="false">
      <c r="A370" s="9" t="s">
        <v>53</v>
      </c>
      <c r="B370" s="9" t="s">
        <v>100</v>
      </c>
      <c r="C370" s="9" t="s">
        <v>1429</v>
      </c>
      <c r="D370" s="9"/>
      <c r="E370" s="9" t="s">
        <v>1431</v>
      </c>
      <c r="F370" s="19" t="s">
        <v>1428</v>
      </c>
      <c r="G370" s="9" t="s">
        <v>1427</v>
      </c>
    </row>
    <row r="371" customFormat="false" ht="15" hidden="false" customHeight="true" outlineLevel="0" collapsed="false">
      <c r="A371" s="9" t="s">
        <v>53</v>
      </c>
      <c r="B371" s="9" t="s">
        <v>104</v>
      </c>
      <c r="C371" s="9" t="s">
        <v>1425</v>
      </c>
      <c r="D371" s="9"/>
      <c r="E371" s="9" t="s">
        <v>72</v>
      </c>
      <c r="F371" s="19" t="s">
        <v>1428</v>
      </c>
      <c r="G371" s="9" t="s">
        <v>1427</v>
      </c>
    </row>
    <row r="372" customFormat="false" ht="15" hidden="false" customHeight="true" outlineLevel="0" collapsed="false">
      <c r="A372" s="9" t="s">
        <v>53</v>
      </c>
      <c r="B372" s="9" t="s">
        <v>104</v>
      </c>
      <c r="C372" s="9" t="s">
        <v>1117</v>
      </c>
      <c r="D372" s="9"/>
      <c r="E372" s="9" t="s">
        <v>50</v>
      </c>
      <c r="F372" s="19" t="s">
        <v>1428</v>
      </c>
      <c r="G372" s="9" t="s">
        <v>1427</v>
      </c>
    </row>
    <row r="373" customFormat="false" ht="15" hidden="false" customHeight="true" outlineLevel="0" collapsed="false">
      <c r="A373" s="9" t="s">
        <v>53</v>
      </c>
      <c r="B373" s="9" t="s">
        <v>104</v>
      </c>
      <c r="C373" s="9" t="s">
        <v>1429</v>
      </c>
      <c r="D373" s="9"/>
      <c r="E373" s="9" t="s">
        <v>1431</v>
      </c>
      <c r="F373" s="19" t="s">
        <v>1428</v>
      </c>
      <c r="G373" s="9" t="s">
        <v>1427</v>
      </c>
    </row>
    <row r="374" customFormat="false" ht="15" hidden="false" customHeight="true" outlineLevel="0" collapsed="false">
      <c r="A374" s="9" t="s">
        <v>53</v>
      </c>
      <c r="B374" s="9" t="s">
        <v>107</v>
      </c>
      <c r="C374" s="9" t="s">
        <v>1425</v>
      </c>
      <c r="D374" s="9"/>
      <c r="E374" s="9" t="s">
        <v>49</v>
      </c>
      <c r="F374" s="19" t="s">
        <v>1428</v>
      </c>
      <c r="G374" s="9" t="s">
        <v>1427</v>
      </c>
    </row>
    <row r="375" customFormat="false" ht="15" hidden="false" customHeight="true" outlineLevel="0" collapsed="false">
      <c r="A375" s="9" t="s">
        <v>53</v>
      </c>
      <c r="B375" s="9" t="s">
        <v>107</v>
      </c>
      <c r="C375" s="9" t="s">
        <v>1117</v>
      </c>
      <c r="D375" s="9"/>
      <c r="E375" s="9" t="s">
        <v>50</v>
      </c>
      <c r="F375" s="19" t="s">
        <v>1428</v>
      </c>
      <c r="G375" s="9" t="s">
        <v>1427</v>
      </c>
    </row>
    <row r="376" customFormat="false" ht="15" hidden="false" customHeight="true" outlineLevel="0" collapsed="false">
      <c r="A376" s="9" t="s">
        <v>53</v>
      </c>
      <c r="B376" s="9" t="s">
        <v>107</v>
      </c>
      <c r="C376" s="9" t="s">
        <v>1429</v>
      </c>
      <c r="D376" s="9"/>
      <c r="E376" s="9" t="s">
        <v>49</v>
      </c>
      <c r="F376" s="19" t="s">
        <v>1428</v>
      </c>
      <c r="G376" s="9" t="s">
        <v>1427</v>
      </c>
    </row>
    <row r="377" customFormat="false" ht="15" hidden="false" customHeight="true" outlineLevel="0" collapsed="false">
      <c r="A377" s="9" t="s">
        <v>53</v>
      </c>
      <c r="B377" s="9" t="s">
        <v>111</v>
      </c>
      <c r="C377" s="9" t="s">
        <v>1425</v>
      </c>
      <c r="D377" s="9"/>
      <c r="E377" s="9" t="s">
        <v>49</v>
      </c>
      <c r="F377" s="19" t="s">
        <v>1428</v>
      </c>
      <c r="G377" s="9" t="s">
        <v>1427</v>
      </c>
    </row>
    <row r="378" customFormat="false" ht="15" hidden="false" customHeight="true" outlineLevel="0" collapsed="false">
      <c r="A378" s="9" t="s">
        <v>53</v>
      </c>
      <c r="B378" s="9" t="s">
        <v>111</v>
      </c>
      <c r="C378" s="9" t="s">
        <v>1117</v>
      </c>
      <c r="D378" s="9"/>
      <c r="E378" s="9" t="s">
        <v>50</v>
      </c>
      <c r="F378" s="19" t="s">
        <v>1428</v>
      </c>
      <c r="G378" s="9" t="s">
        <v>1427</v>
      </c>
    </row>
    <row r="379" customFormat="false" ht="15" hidden="false" customHeight="true" outlineLevel="0" collapsed="false">
      <c r="A379" s="9" t="s">
        <v>53</v>
      </c>
      <c r="B379" s="9" t="s">
        <v>111</v>
      </c>
      <c r="C379" s="9" t="s">
        <v>1429</v>
      </c>
      <c r="D379" s="9"/>
      <c r="E379" s="9" t="s">
        <v>1431</v>
      </c>
      <c r="F379" s="19" t="s">
        <v>1428</v>
      </c>
      <c r="G379" s="9" t="s">
        <v>1427</v>
      </c>
    </row>
    <row r="380" customFormat="false" ht="15" hidden="false" customHeight="true" outlineLevel="0" collapsed="false">
      <c r="A380" s="9" t="s">
        <v>53</v>
      </c>
      <c r="B380" s="9" t="s">
        <v>114</v>
      </c>
      <c r="C380" s="9" t="s">
        <v>1425</v>
      </c>
      <c r="D380" s="9"/>
      <c r="E380" s="9" t="s">
        <v>49</v>
      </c>
      <c r="F380" s="19" t="s">
        <v>1428</v>
      </c>
      <c r="G380" s="9" t="s">
        <v>1427</v>
      </c>
    </row>
    <row r="381" customFormat="false" ht="15" hidden="false" customHeight="true" outlineLevel="0" collapsed="false">
      <c r="A381" s="9" t="s">
        <v>53</v>
      </c>
      <c r="B381" s="9" t="s">
        <v>114</v>
      </c>
      <c r="C381" s="9" t="s">
        <v>1117</v>
      </c>
      <c r="D381" s="9"/>
      <c r="E381" s="9" t="s">
        <v>50</v>
      </c>
      <c r="F381" s="19" t="s">
        <v>1428</v>
      </c>
      <c r="G381" s="9" t="s">
        <v>1427</v>
      </c>
    </row>
    <row r="382" customFormat="false" ht="15" hidden="false" customHeight="true" outlineLevel="0" collapsed="false">
      <c r="A382" s="9" t="s">
        <v>53</v>
      </c>
      <c r="B382" s="9" t="s">
        <v>114</v>
      </c>
      <c r="C382" s="9" t="s">
        <v>1429</v>
      </c>
      <c r="D382" s="9"/>
      <c r="E382" s="9" t="s">
        <v>1431</v>
      </c>
      <c r="F382" s="19" t="s">
        <v>1428</v>
      </c>
      <c r="G382" s="9" t="s">
        <v>1427</v>
      </c>
    </row>
    <row r="383" customFormat="false" ht="15" hidden="false" customHeight="true" outlineLevel="0" collapsed="false">
      <c r="A383" s="9" t="s">
        <v>53</v>
      </c>
      <c r="B383" s="9" t="s">
        <v>117</v>
      </c>
      <c r="C383" s="9" t="s">
        <v>1425</v>
      </c>
      <c r="D383" s="9"/>
      <c r="E383" s="9" t="s">
        <v>49</v>
      </c>
      <c r="F383" s="19" t="s">
        <v>1428</v>
      </c>
      <c r="G383" s="9" t="s">
        <v>1427</v>
      </c>
    </row>
    <row r="384" customFormat="false" ht="15" hidden="false" customHeight="true" outlineLevel="0" collapsed="false">
      <c r="A384" s="9" t="s">
        <v>53</v>
      </c>
      <c r="B384" s="9" t="s">
        <v>117</v>
      </c>
      <c r="C384" s="9" t="s">
        <v>1117</v>
      </c>
      <c r="D384" s="9"/>
      <c r="E384" s="9" t="s">
        <v>50</v>
      </c>
      <c r="F384" s="19" t="s">
        <v>1428</v>
      </c>
      <c r="G384" s="9" t="s">
        <v>1427</v>
      </c>
    </row>
    <row r="385" customFormat="false" ht="15" hidden="false" customHeight="true" outlineLevel="0" collapsed="false">
      <c r="A385" s="9" t="s">
        <v>53</v>
      </c>
      <c r="B385" s="9" t="s">
        <v>117</v>
      </c>
      <c r="C385" s="9" t="s">
        <v>1429</v>
      </c>
      <c r="D385" s="9"/>
      <c r="E385" s="9" t="s">
        <v>49</v>
      </c>
      <c r="F385" s="19" t="s">
        <v>1428</v>
      </c>
      <c r="G385" s="9" t="s">
        <v>1427</v>
      </c>
    </row>
    <row r="386" customFormat="false" ht="15" hidden="false" customHeight="true" outlineLevel="0" collapsed="false">
      <c r="A386" s="9" t="s">
        <v>53</v>
      </c>
      <c r="B386" s="9" t="s">
        <v>120</v>
      </c>
      <c r="C386" s="9" t="s">
        <v>1425</v>
      </c>
      <c r="D386" s="9"/>
      <c r="E386" s="9" t="s">
        <v>49</v>
      </c>
      <c r="F386" s="19" t="s">
        <v>1428</v>
      </c>
      <c r="G386" s="9" t="s">
        <v>1427</v>
      </c>
    </row>
    <row r="387" customFormat="false" ht="15" hidden="false" customHeight="true" outlineLevel="0" collapsed="false">
      <c r="A387" s="9" t="s">
        <v>53</v>
      </c>
      <c r="B387" s="9" t="s">
        <v>120</v>
      </c>
      <c r="C387" s="9" t="s">
        <v>1117</v>
      </c>
      <c r="D387" s="9"/>
      <c r="E387" s="9" t="s">
        <v>52</v>
      </c>
      <c r="F387" s="19" t="s">
        <v>1428</v>
      </c>
      <c r="G387" s="9" t="s">
        <v>1427</v>
      </c>
    </row>
    <row r="388" customFormat="false" ht="15" hidden="false" customHeight="true" outlineLevel="0" collapsed="false">
      <c r="A388" s="9" t="s">
        <v>53</v>
      </c>
      <c r="B388" s="9" t="s">
        <v>120</v>
      </c>
      <c r="C388" s="9" t="s">
        <v>1429</v>
      </c>
      <c r="D388" s="9"/>
      <c r="E388" s="9" t="s">
        <v>49</v>
      </c>
      <c r="F388" s="19" t="s">
        <v>1428</v>
      </c>
      <c r="G388" s="9" t="s">
        <v>1427</v>
      </c>
    </row>
    <row r="389" customFormat="false" ht="15" hidden="false" customHeight="true" outlineLevel="0" collapsed="false">
      <c r="A389" s="9" t="s">
        <v>53</v>
      </c>
      <c r="B389" s="9" t="s">
        <v>123</v>
      </c>
      <c r="C389" s="9" t="s">
        <v>1425</v>
      </c>
      <c r="D389" s="9"/>
      <c r="E389" s="9" t="s">
        <v>49</v>
      </c>
      <c r="F389" s="19" t="s">
        <v>1428</v>
      </c>
      <c r="G389" s="9" t="s">
        <v>1427</v>
      </c>
    </row>
    <row r="390" customFormat="false" ht="15" hidden="false" customHeight="true" outlineLevel="0" collapsed="false">
      <c r="A390" s="9" t="s">
        <v>53</v>
      </c>
      <c r="B390" s="9" t="s">
        <v>123</v>
      </c>
      <c r="C390" s="9" t="s">
        <v>1117</v>
      </c>
      <c r="D390" s="9"/>
      <c r="E390" s="9" t="s">
        <v>49</v>
      </c>
      <c r="F390" s="19" t="s">
        <v>1428</v>
      </c>
      <c r="G390" s="9" t="s">
        <v>1427</v>
      </c>
    </row>
    <row r="391" customFormat="false" ht="15" hidden="false" customHeight="true" outlineLevel="0" collapsed="false">
      <c r="A391" s="9" t="s">
        <v>53</v>
      </c>
      <c r="B391" s="9" t="s">
        <v>123</v>
      </c>
      <c r="C391" s="9" t="s">
        <v>1429</v>
      </c>
      <c r="D391" s="9"/>
      <c r="E391" s="9" t="s">
        <v>1431</v>
      </c>
      <c r="F391" s="19" t="s">
        <v>1428</v>
      </c>
      <c r="G391" s="9" t="s">
        <v>1427</v>
      </c>
    </row>
    <row r="392" customFormat="false" ht="15" hidden="false" customHeight="true" outlineLevel="0" collapsed="false">
      <c r="A392" s="9" t="s">
        <v>53</v>
      </c>
      <c r="B392" s="9" t="s">
        <v>126</v>
      </c>
      <c r="C392" s="9" t="s">
        <v>1425</v>
      </c>
      <c r="D392" s="9"/>
      <c r="E392" s="9" t="s">
        <v>49</v>
      </c>
      <c r="F392" s="19" t="s">
        <v>1428</v>
      </c>
      <c r="G392" s="9" t="s">
        <v>1427</v>
      </c>
    </row>
    <row r="393" customFormat="false" ht="15" hidden="false" customHeight="true" outlineLevel="0" collapsed="false">
      <c r="A393" s="9" t="s">
        <v>53</v>
      </c>
      <c r="B393" s="9" t="s">
        <v>126</v>
      </c>
      <c r="C393" s="9" t="s">
        <v>1117</v>
      </c>
      <c r="D393" s="9"/>
      <c r="E393" s="9" t="s">
        <v>50</v>
      </c>
      <c r="F393" s="19" t="s">
        <v>1428</v>
      </c>
      <c r="G393" s="9" t="s">
        <v>1427</v>
      </c>
    </row>
    <row r="394" customFormat="false" ht="15" hidden="false" customHeight="true" outlineLevel="0" collapsed="false">
      <c r="A394" s="9" t="s">
        <v>53</v>
      </c>
      <c r="B394" s="9" t="s">
        <v>126</v>
      </c>
      <c r="C394" s="9" t="s">
        <v>1429</v>
      </c>
      <c r="D394" s="9"/>
      <c r="E394" s="9" t="s">
        <v>1431</v>
      </c>
      <c r="F394" s="19" t="s">
        <v>1428</v>
      </c>
      <c r="G394" s="9" t="s">
        <v>1427</v>
      </c>
    </row>
    <row r="395" customFormat="false" ht="15" hidden="false" customHeight="true" outlineLevel="0" collapsed="false">
      <c r="A395" s="9" t="s">
        <v>53</v>
      </c>
      <c r="B395" s="9" t="s">
        <v>129</v>
      </c>
      <c r="C395" s="9" t="s">
        <v>1425</v>
      </c>
      <c r="D395" s="9"/>
      <c r="E395" s="9" t="s">
        <v>1431</v>
      </c>
      <c r="F395" s="19" t="s">
        <v>1428</v>
      </c>
      <c r="G395" s="9" t="s">
        <v>1427</v>
      </c>
    </row>
    <row r="396" customFormat="false" ht="15" hidden="false" customHeight="true" outlineLevel="0" collapsed="false">
      <c r="A396" s="9" t="s">
        <v>53</v>
      </c>
      <c r="B396" s="9" t="s">
        <v>129</v>
      </c>
      <c r="C396" s="9" t="s">
        <v>1117</v>
      </c>
      <c r="D396" s="9"/>
      <c r="E396" s="9" t="s">
        <v>51</v>
      </c>
      <c r="F396" s="19" t="s">
        <v>1428</v>
      </c>
      <c r="G396" s="9" t="s">
        <v>1427</v>
      </c>
    </row>
    <row r="397" customFormat="false" ht="15" hidden="false" customHeight="true" outlineLevel="0" collapsed="false">
      <c r="A397" s="9" t="s">
        <v>53</v>
      </c>
      <c r="B397" s="9" t="s">
        <v>129</v>
      </c>
      <c r="C397" s="9" t="s">
        <v>1429</v>
      </c>
      <c r="D397" s="9"/>
      <c r="E397" s="9" t="s">
        <v>49</v>
      </c>
      <c r="F397" s="19" t="s">
        <v>1428</v>
      </c>
      <c r="G397" s="9" t="s">
        <v>1427</v>
      </c>
    </row>
    <row r="398" customFormat="false" ht="15" hidden="false" customHeight="true" outlineLevel="0" collapsed="false">
      <c r="A398" s="9" t="s">
        <v>53</v>
      </c>
      <c r="B398" s="9" t="s">
        <v>132</v>
      </c>
      <c r="C398" s="9" t="s">
        <v>1425</v>
      </c>
      <c r="D398" s="9"/>
      <c r="E398" s="9" t="s">
        <v>1431</v>
      </c>
      <c r="F398" s="19" t="s">
        <v>1428</v>
      </c>
      <c r="G398" s="9" t="s">
        <v>1427</v>
      </c>
    </row>
    <row r="399" customFormat="false" ht="15" hidden="false" customHeight="true" outlineLevel="0" collapsed="false">
      <c r="A399" s="9" t="s">
        <v>53</v>
      </c>
      <c r="B399" s="9" t="s">
        <v>132</v>
      </c>
      <c r="C399" s="9" t="s">
        <v>1117</v>
      </c>
      <c r="D399" s="9"/>
      <c r="E399" s="9" t="s">
        <v>52</v>
      </c>
      <c r="F399" s="19" t="s">
        <v>1428</v>
      </c>
      <c r="G399" s="9" t="s">
        <v>1427</v>
      </c>
    </row>
    <row r="400" customFormat="false" ht="15" hidden="false" customHeight="true" outlineLevel="0" collapsed="false">
      <c r="A400" s="9" t="s">
        <v>53</v>
      </c>
      <c r="B400" s="9" t="s">
        <v>132</v>
      </c>
      <c r="C400" s="9" t="s">
        <v>1429</v>
      </c>
      <c r="D400" s="9"/>
      <c r="E400" s="9" t="s">
        <v>1431</v>
      </c>
      <c r="F400" s="19" t="s">
        <v>1428</v>
      </c>
      <c r="G400" s="9" t="s">
        <v>1427</v>
      </c>
    </row>
    <row r="401" customFormat="false" ht="15" hidden="false" customHeight="true" outlineLevel="0" collapsed="false">
      <c r="A401" s="9" t="s">
        <v>53</v>
      </c>
      <c r="B401" s="9" t="s">
        <v>135</v>
      </c>
      <c r="C401" s="9" t="s">
        <v>1425</v>
      </c>
      <c r="D401" s="9"/>
      <c r="E401" s="9" t="s">
        <v>49</v>
      </c>
      <c r="F401" s="19" t="s">
        <v>1428</v>
      </c>
      <c r="G401" s="9" t="s">
        <v>1427</v>
      </c>
    </row>
    <row r="402" customFormat="false" ht="15" hidden="false" customHeight="true" outlineLevel="0" collapsed="false">
      <c r="A402" s="9" t="s">
        <v>53</v>
      </c>
      <c r="B402" s="9" t="s">
        <v>135</v>
      </c>
      <c r="C402" s="9" t="s">
        <v>1117</v>
      </c>
      <c r="D402" s="9"/>
      <c r="E402" s="9" t="s">
        <v>50</v>
      </c>
      <c r="F402" s="19" t="s">
        <v>1428</v>
      </c>
      <c r="G402" s="9" t="s">
        <v>1427</v>
      </c>
    </row>
    <row r="403" customFormat="false" ht="15" hidden="false" customHeight="true" outlineLevel="0" collapsed="false">
      <c r="A403" s="9" t="s">
        <v>53</v>
      </c>
      <c r="B403" s="9" t="s">
        <v>135</v>
      </c>
      <c r="C403" s="9" t="s">
        <v>1429</v>
      </c>
      <c r="D403" s="9"/>
      <c r="E403" s="9" t="s">
        <v>1431</v>
      </c>
      <c r="F403" s="19" t="s">
        <v>1428</v>
      </c>
      <c r="G403" s="9" t="s">
        <v>1427</v>
      </c>
    </row>
    <row r="404" customFormat="false" ht="15" hidden="false" customHeight="true" outlineLevel="0" collapsed="false">
      <c r="A404" s="9" t="s">
        <v>53</v>
      </c>
      <c r="B404" s="9" t="s">
        <v>138</v>
      </c>
      <c r="C404" s="9" t="s">
        <v>1425</v>
      </c>
      <c r="D404" s="9"/>
      <c r="E404" s="9" t="s">
        <v>1431</v>
      </c>
      <c r="F404" s="19" t="s">
        <v>1428</v>
      </c>
      <c r="G404" s="9" t="s">
        <v>1427</v>
      </c>
    </row>
    <row r="405" customFormat="false" ht="15" hidden="false" customHeight="true" outlineLevel="0" collapsed="false">
      <c r="A405" s="9" t="s">
        <v>53</v>
      </c>
      <c r="B405" s="9" t="s">
        <v>138</v>
      </c>
      <c r="C405" s="9" t="s">
        <v>1117</v>
      </c>
      <c r="D405" s="9"/>
      <c r="E405" s="9" t="s">
        <v>1431</v>
      </c>
      <c r="F405" s="19" t="s">
        <v>1428</v>
      </c>
      <c r="G405" s="9" t="s">
        <v>1427</v>
      </c>
    </row>
    <row r="406" customFormat="false" ht="15" hidden="false" customHeight="true" outlineLevel="0" collapsed="false">
      <c r="A406" s="9" t="s">
        <v>53</v>
      </c>
      <c r="B406" s="9" t="s">
        <v>138</v>
      </c>
      <c r="C406" s="9" t="s">
        <v>1429</v>
      </c>
      <c r="D406" s="9"/>
      <c r="E406" s="9" t="s">
        <v>1431</v>
      </c>
      <c r="F406" s="19" t="s">
        <v>1428</v>
      </c>
      <c r="G406" s="9" t="s">
        <v>1427</v>
      </c>
    </row>
    <row r="407" customFormat="false" ht="15" hidden="false" customHeight="true" outlineLevel="0" collapsed="false">
      <c r="A407" s="9" t="s">
        <v>53</v>
      </c>
      <c r="B407" s="9" t="s">
        <v>141</v>
      </c>
      <c r="C407" s="9" t="s">
        <v>1425</v>
      </c>
      <c r="D407" s="9"/>
      <c r="E407" s="9" t="s">
        <v>49</v>
      </c>
      <c r="F407" s="19" t="s">
        <v>1428</v>
      </c>
      <c r="G407" s="9" t="s">
        <v>1427</v>
      </c>
    </row>
    <row r="408" customFormat="false" ht="15" hidden="false" customHeight="true" outlineLevel="0" collapsed="false">
      <c r="A408" s="9" t="s">
        <v>53</v>
      </c>
      <c r="B408" s="9" t="s">
        <v>141</v>
      </c>
      <c r="C408" s="9" t="s">
        <v>1117</v>
      </c>
      <c r="D408" s="9"/>
      <c r="E408" s="9" t="s">
        <v>1431</v>
      </c>
      <c r="F408" s="19" t="s">
        <v>1428</v>
      </c>
      <c r="G408" s="9" t="s">
        <v>1427</v>
      </c>
    </row>
    <row r="409" customFormat="false" ht="15" hidden="false" customHeight="true" outlineLevel="0" collapsed="false">
      <c r="A409" s="9" t="s">
        <v>53</v>
      </c>
      <c r="B409" s="9" t="s">
        <v>141</v>
      </c>
      <c r="C409" s="9" t="s">
        <v>1429</v>
      </c>
      <c r="D409" s="9"/>
      <c r="E409" s="9" t="s">
        <v>49</v>
      </c>
      <c r="F409" s="19" t="s">
        <v>1428</v>
      </c>
      <c r="G409" s="9" t="s">
        <v>1427</v>
      </c>
    </row>
    <row r="410" customFormat="false" ht="15" hidden="false" customHeight="true" outlineLevel="0" collapsed="false">
      <c r="A410" s="9" t="s">
        <v>53</v>
      </c>
      <c r="B410" s="9" t="s">
        <v>144</v>
      </c>
      <c r="C410" s="9" t="s">
        <v>1425</v>
      </c>
      <c r="D410" s="9"/>
      <c r="E410" s="9" t="s">
        <v>72</v>
      </c>
      <c r="F410" s="19" t="s">
        <v>1428</v>
      </c>
      <c r="G410" s="9" t="s">
        <v>1427</v>
      </c>
    </row>
    <row r="411" customFormat="false" ht="23.25" hidden="false" customHeight="true" outlineLevel="0" collapsed="false">
      <c r="A411" s="9" t="s">
        <v>53</v>
      </c>
      <c r="B411" s="9" t="s">
        <v>144</v>
      </c>
      <c r="C411" s="9" t="s">
        <v>1117</v>
      </c>
      <c r="D411" s="9"/>
      <c r="E411" s="9" t="s">
        <v>50</v>
      </c>
      <c r="F411" s="19" t="s">
        <v>1428</v>
      </c>
      <c r="G411" s="9" t="s">
        <v>1427</v>
      </c>
    </row>
    <row r="412" customFormat="false" ht="23.25" hidden="false" customHeight="true" outlineLevel="0" collapsed="false">
      <c r="A412" s="9" t="s">
        <v>53</v>
      </c>
      <c r="B412" s="9" t="s">
        <v>144</v>
      </c>
      <c r="C412" s="9" t="s">
        <v>1429</v>
      </c>
      <c r="D412" s="9"/>
      <c r="E412" s="9" t="s">
        <v>72</v>
      </c>
      <c r="F412" s="19" t="s">
        <v>1428</v>
      </c>
      <c r="G412" s="9" t="s">
        <v>1427</v>
      </c>
    </row>
    <row r="413" customFormat="false" ht="23.25" hidden="false" customHeight="true" outlineLevel="0" collapsed="false">
      <c r="A413" s="9" t="s">
        <v>53</v>
      </c>
      <c r="B413" s="9" t="s">
        <v>147</v>
      </c>
      <c r="C413" s="9" t="s">
        <v>1425</v>
      </c>
      <c r="D413" s="9"/>
      <c r="E413" s="9" t="s">
        <v>49</v>
      </c>
      <c r="F413" s="19" t="s">
        <v>1428</v>
      </c>
      <c r="G413" s="9" t="s">
        <v>1427</v>
      </c>
    </row>
    <row r="414" customFormat="false" ht="15" hidden="false" customHeight="true" outlineLevel="0" collapsed="false">
      <c r="A414" s="9" t="s">
        <v>53</v>
      </c>
      <c r="B414" s="9" t="s">
        <v>147</v>
      </c>
      <c r="C414" s="9" t="s">
        <v>1117</v>
      </c>
      <c r="D414" s="9"/>
      <c r="E414" s="9" t="s">
        <v>1431</v>
      </c>
      <c r="F414" s="19" t="s">
        <v>1428</v>
      </c>
      <c r="G414" s="9" t="s">
        <v>1427</v>
      </c>
    </row>
    <row r="415" customFormat="false" ht="15" hidden="false" customHeight="true" outlineLevel="0" collapsed="false">
      <c r="A415" s="9" t="s">
        <v>53</v>
      </c>
      <c r="B415" s="9" t="s">
        <v>147</v>
      </c>
      <c r="C415" s="9" t="s">
        <v>1429</v>
      </c>
      <c r="D415" s="9"/>
      <c r="E415" s="9" t="s">
        <v>49</v>
      </c>
      <c r="F415" s="19" t="s">
        <v>1428</v>
      </c>
      <c r="G415" s="9" t="s">
        <v>1427</v>
      </c>
    </row>
    <row r="416" customFormat="false" ht="15" hidden="false" customHeight="true" outlineLevel="0" collapsed="false">
      <c r="A416" s="9" t="s">
        <v>53</v>
      </c>
      <c r="B416" s="9" t="s">
        <v>138</v>
      </c>
      <c r="C416" s="9" t="s">
        <v>1111</v>
      </c>
      <c r="D416" s="9"/>
      <c r="E416" s="9" t="s">
        <v>51</v>
      </c>
      <c r="F416" s="19" t="s">
        <v>1432</v>
      </c>
      <c r="G416" s="9" t="s">
        <v>1433</v>
      </c>
    </row>
    <row r="417" customFormat="false" ht="15" hidden="false" customHeight="true" outlineLevel="0" collapsed="false">
      <c r="A417" s="9" t="s">
        <v>53</v>
      </c>
      <c r="B417" s="9" t="s">
        <v>138</v>
      </c>
      <c r="C417" s="9" t="s">
        <v>1434</v>
      </c>
      <c r="D417" s="9"/>
      <c r="E417" s="9" t="s">
        <v>72</v>
      </c>
      <c r="F417" s="19" t="s">
        <v>1435</v>
      </c>
      <c r="G417" s="9" t="s">
        <v>1436</v>
      </c>
    </row>
    <row r="418" customFormat="false" ht="15" hidden="false" customHeight="true" outlineLevel="0" collapsed="false">
      <c r="A418" s="9" t="s">
        <v>53</v>
      </c>
      <c r="B418" s="9" t="s">
        <v>138</v>
      </c>
      <c r="C418" s="9" t="s">
        <v>1437</v>
      </c>
      <c r="D418" s="9"/>
      <c r="E418" s="9" t="s">
        <v>51</v>
      </c>
      <c r="F418" s="19" t="s">
        <v>1438</v>
      </c>
      <c r="G418" s="9" t="s">
        <v>1439</v>
      </c>
    </row>
    <row r="419" customFormat="false" ht="15" hidden="false" customHeight="true" outlineLevel="0" collapsed="false">
      <c r="A419" s="9" t="s">
        <v>53</v>
      </c>
      <c r="B419" s="9" t="s">
        <v>138</v>
      </c>
      <c r="C419" s="9" t="s">
        <v>1425</v>
      </c>
      <c r="D419" s="9"/>
      <c r="E419" s="9" t="s">
        <v>49</v>
      </c>
      <c r="F419" s="19" t="s">
        <v>1440</v>
      </c>
      <c r="G419" s="9" t="s">
        <v>1441</v>
      </c>
    </row>
    <row r="420" customFormat="false" ht="15" hidden="false" customHeight="true" outlineLevel="0" collapsed="false">
      <c r="A420" s="9" t="s">
        <v>53</v>
      </c>
      <c r="B420" s="9" t="s">
        <v>138</v>
      </c>
      <c r="C420" s="9" t="s">
        <v>1117</v>
      </c>
      <c r="D420" s="9"/>
      <c r="E420" s="9" t="s">
        <v>50</v>
      </c>
      <c r="F420" s="19" t="s">
        <v>1442</v>
      </c>
      <c r="G420" s="9" t="s">
        <v>1261</v>
      </c>
    </row>
    <row r="421" customFormat="false" ht="23.25" hidden="false" customHeight="true" outlineLevel="0" collapsed="false">
      <c r="A421" s="9" t="s">
        <v>53</v>
      </c>
      <c r="B421" s="9" t="s">
        <v>64</v>
      </c>
      <c r="C421" s="9" t="s">
        <v>1117</v>
      </c>
      <c r="D421" s="9"/>
      <c r="E421" s="9" t="s">
        <v>49</v>
      </c>
      <c r="F421" s="19" t="s">
        <v>1443</v>
      </c>
      <c r="G421" s="9" t="s">
        <v>1261</v>
      </c>
    </row>
    <row r="422" customFormat="false" ht="23.25" hidden="false" customHeight="true" outlineLevel="0" collapsed="false">
      <c r="A422" s="9" t="s">
        <v>53</v>
      </c>
      <c r="B422" s="9" t="s">
        <v>86</v>
      </c>
      <c r="C422" s="9" t="s">
        <v>1117</v>
      </c>
      <c r="D422" s="9"/>
      <c r="E422" s="9" t="s">
        <v>52</v>
      </c>
      <c r="F422" s="19" t="s">
        <v>1444</v>
      </c>
      <c r="G422" s="9" t="s">
        <v>1261</v>
      </c>
    </row>
    <row r="423" customFormat="false" ht="15" hidden="false" customHeight="true" outlineLevel="0" collapsed="false">
      <c r="A423" s="9" t="s">
        <v>53</v>
      </c>
      <c r="B423" s="9" t="s">
        <v>141</v>
      </c>
      <c r="C423" s="9" t="s">
        <v>1117</v>
      </c>
      <c r="D423" s="9"/>
      <c r="E423" s="9" t="s">
        <v>52</v>
      </c>
      <c r="F423" s="19" t="s">
        <v>1445</v>
      </c>
      <c r="G423" s="9" t="s">
        <v>1261</v>
      </c>
    </row>
    <row r="424" customFormat="false" ht="15" hidden="false" customHeight="true" outlineLevel="0" collapsed="false">
      <c r="A424" s="9" t="s">
        <v>53</v>
      </c>
      <c r="B424" s="9" t="s">
        <v>147</v>
      </c>
      <c r="C424" s="9" t="s">
        <v>1117</v>
      </c>
      <c r="D424" s="9"/>
      <c r="E424" s="9" t="s">
        <v>49</v>
      </c>
      <c r="F424" s="19" t="s">
        <v>1446</v>
      </c>
      <c r="G424" s="9" t="s">
        <v>1261</v>
      </c>
    </row>
    <row r="425" customFormat="false" ht="15" hidden="false" customHeight="true" outlineLevel="0" collapsed="false">
      <c r="A425" s="9" t="s">
        <v>53</v>
      </c>
      <c r="B425" s="9" t="s">
        <v>114</v>
      </c>
      <c r="C425" s="9" t="s">
        <v>1447</v>
      </c>
      <c r="D425" s="9"/>
      <c r="E425" s="9" t="s">
        <v>51</v>
      </c>
      <c r="F425" s="19" t="s">
        <v>1448</v>
      </c>
      <c r="G425" s="9" t="s">
        <v>1449</v>
      </c>
    </row>
    <row r="426" customFormat="false" ht="15" hidden="false" customHeight="true" outlineLevel="0" collapsed="false">
      <c r="A426" s="9" t="s">
        <v>53</v>
      </c>
      <c r="B426" s="9" t="s">
        <v>135</v>
      </c>
      <c r="C426" s="9" t="s">
        <v>1450</v>
      </c>
      <c r="D426" s="9"/>
      <c r="E426" s="9" t="s">
        <v>49</v>
      </c>
      <c r="F426" s="19" t="s">
        <v>1451</v>
      </c>
      <c r="G426" s="9" t="s">
        <v>1452</v>
      </c>
    </row>
    <row r="427" customFormat="false" ht="34.5" hidden="false" customHeight="true" outlineLevel="0" collapsed="false">
      <c r="A427" s="9" t="s">
        <v>53</v>
      </c>
      <c r="B427" s="9" t="s">
        <v>77</v>
      </c>
      <c r="C427" s="9" t="s">
        <v>1447</v>
      </c>
      <c r="D427" s="9"/>
      <c r="E427" s="9" t="s">
        <v>52</v>
      </c>
      <c r="F427" s="19" t="s">
        <v>1453</v>
      </c>
      <c r="G427" s="9" t="s">
        <v>1454</v>
      </c>
    </row>
    <row r="428" customFormat="false" ht="15" hidden="false" customHeight="true" outlineLevel="0" collapsed="false">
      <c r="A428" s="9" t="s">
        <v>53</v>
      </c>
      <c r="B428" s="9" t="s">
        <v>150</v>
      </c>
      <c r="C428" s="9" t="s">
        <v>23</v>
      </c>
      <c r="D428" s="9"/>
      <c r="E428" s="9" t="s">
        <v>52</v>
      </c>
      <c r="F428" s="19" t="s">
        <v>1256</v>
      </c>
      <c r="G428" s="9" t="s">
        <v>1257</v>
      </c>
    </row>
    <row r="429" customFormat="false" ht="15" hidden="false" customHeight="true" outlineLevel="0" collapsed="false">
      <c r="A429" s="9" t="s">
        <v>53</v>
      </c>
      <c r="B429" s="9" t="s">
        <v>150</v>
      </c>
      <c r="C429" s="9" t="s">
        <v>24</v>
      </c>
      <c r="D429" s="9"/>
      <c r="E429" s="9" t="s">
        <v>52</v>
      </c>
      <c r="F429" s="19" t="s">
        <v>1258</v>
      </c>
      <c r="G429" s="9" t="s">
        <v>1259</v>
      </c>
    </row>
    <row r="430" customFormat="false" ht="23.25" hidden="false" customHeight="true" outlineLevel="0" collapsed="false">
      <c r="A430" s="9" t="s">
        <v>53</v>
      </c>
      <c r="B430" s="9" t="s">
        <v>150</v>
      </c>
      <c r="C430" s="9" t="s">
        <v>25</v>
      </c>
      <c r="D430" s="9"/>
      <c r="E430" s="9" t="s">
        <v>51</v>
      </c>
      <c r="F430" s="19" t="s">
        <v>1260</v>
      </c>
      <c r="G430" s="9" t="s">
        <v>1261</v>
      </c>
    </row>
    <row r="431" customFormat="false" ht="15" hidden="false" customHeight="true" outlineLevel="0" collapsed="false">
      <c r="A431" s="9" t="s">
        <v>53</v>
      </c>
      <c r="B431" s="9" t="s">
        <v>150</v>
      </c>
      <c r="C431" s="9" t="s">
        <v>26</v>
      </c>
      <c r="D431" s="9"/>
      <c r="E431" s="9" t="s">
        <v>52</v>
      </c>
      <c r="F431" s="19" t="s">
        <v>1262</v>
      </c>
      <c r="G431" s="9" t="s">
        <v>1101</v>
      </c>
    </row>
    <row r="432" customFormat="false" ht="15" hidden="false" customHeight="true" outlineLevel="0" collapsed="false">
      <c r="A432" s="9" t="s">
        <v>53</v>
      </c>
      <c r="B432" s="9" t="s">
        <v>150</v>
      </c>
      <c r="C432" s="9" t="s">
        <v>27</v>
      </c>
      <c r="D432" s="9"/>
      <c r="E432" s="9" t="s">
        <v>49</v>
      </c>
      <c r="F432" s="19" t="s">
        <v>1263</v>
      </c>
      <c r="G432" s="9" t="s">
        <v>1138</v>
      </c>
    </row>
    <row r="433" customFormat="false" ht="15" hidden="false" customHeight="true" outlineLevel="0" collapsed="false">
      <c r="A433" s="9" t="s">
        <v>53</v>
      </c>
      <c r="B433" s="9" t="s">
        <v>150</v>
      </c>
      <c r="C433" s="9" t="s">
        <v>28</v>
      </c>
      <c r="D433" s="9"/>
      <c r="E433" s="9" t="s">
        <v>58</v>
      </c>
      <c r="F433" s="19" t="s">
        <v>1264</v>
      </c>
      <c r="G433" s="9" t="s">
        <v>1114</v>
      </c>
    </row>
    <row r="434" customFormat="false" ht="15" hidden="false" customHeight="true" outlineLevel="0" collapsed="false">
      <c r="A434" s="9" t="s">
        <v>53</v>
      </c>
      <c r="B434" s="9" t="s">
        <v>150</v>
      </c>
      <c r="C434" s="9" t="s">
        <v>29</v>
      </c>
      <c r="D434" s="9"/>
      <c r="E434" s="9" t="s">
        <v>51</v>
      </c>
      <c r="F434" s="19" t="s">
        <v>1265</v>
      </c>
      <c r="G434" s="9" t="s">
        <v>1266</v>
      </c>
    </row>
    <row r="435" customFormat="false" ht="15" hidden="false" customHeight="true" outlineLevel="0" collapsed="false">
      <c r="A435" s="9" t="s">
        <v>53</v>
      </c>
      <c r="B435" s="9" t="s">
        <v>150</v>
      </c>
      <c r="C435" s="9" t="s">
        <v>30</v>
      </c>
      <c r="D435" s="9"/>
      <c r="E435" s="9" t="s">
        <v>49</v>
      </c>
      <c r="F435" s="19" t="s">
        <v>1267</v>
      </c>
      <c r="G435" s="9" t="s">
        <v>1268</v>
      </c>
    </row>
    <row r="436" customFormat="false" ht="23.25" hidden="false" customHeight="true" outlineLevel="0" collapsed="false">
      <c r="A436" s="9" t="s">
        <v>53</v>
      </c>
      <c r="B436" s="9" t="s">
        <v>150</v>
      </c>
      <c r="C436" s="9" t="s">
        <v>31</v>
      </c>
      <c r="D436" s="9"/>
      <c r="E436" s="9" t="s">
        <v>49</v>
      </c>
      <c r="F436" s="19" t="s">
        <v>1269</v>
      </c>
      <c r="G436" s="9" t="s">
        <v>1270</v>
      </c>
    </row>
    <row r="437" customFormat="false" ht="15" hidden="false" customHeight="true" outlineLevel="0" collapsed="false">
      <c r="A437" s="9" t="s">
        <v>53</v>
      </c>
      <c r="B437" s="9" t="s">
        <v>150</v>
      </c>
      <c r="C437" s="9" t="s">
        <v>33</v>
      </c>
      <c r="D437" s="9"/>
      <c r="E437" s="9" t="s">
        <v>49</v>
      </c>
      <c r="F437" s="19" t="s">
        <v>1271</v>
      </c>
      <c r="G437" s="9" t="s">
        <v>1101</v>
      </c>
    </row>
    <row r="438" customFormat="false" ht="15" hidden="false" customHeight="true" outlineLevel="0" collapsed="false">
      <c r="A438" s="9" t="s">
        <v>53</v>
      </c>
      <c r="B438" s="9" t="s">
        <v>150</v>
      </c>
      <c r="C438" s="9" t="s">
        <v>34</v>
      </c>
      <c r="D438" s="9"/>
      <c r="E438" s="9" t="s">
        <v>49</v>
      </c>
      <c r="F438" s="19" t="s">
        <v>1272</v>
      </c>
      <c r="G438" s="9" t="s">
        <v>1261</v>
      </c>
    </row>
    <row r="439" customFormat="false" ht="15" hidden="false" customHeight="true" outlineLevel="0" collapsed="false">
      <c r="A439" s="9" t="s">
        <v>53</v>
      </c>
      <c r="B439" s="9" t="s">
        <v>150</v>
      </c>
      <c r="C439" s="9" t="s">
        <v>35</v>
      </c>
      <c r="D439" s="9"/>
      <c r="E439" s="9" t="s">
        <v>49</v>
      </c>
      <c r="F439" s="19" t="s">
        <v>1273</v>
      </c>
      <c r="G439" s="9" t="s">
        <v>1274</v>
      </c>
    </row>
    <row r="440" customFormat="false" ht="15" hidden="false" customHeight="true" outlineLevel="0" collapsed="false">
      <c r="A440" s="9" t="s">
        <v>53</v>
      </c>
      <c r="B440" s="9" t="s">
        <v>150</v>
      </c>
      <c r="C440" s="9" t="s">
        <v>36</v>
      </c>
      <c r="D440" s="9"/>
      <c r="E440" s="9" t="s">
        <v>51</v>
      </c>
      <c r="F440" s="19" t="s">
        <v>1275</v>
      </c>
      <c r="G440" s="9" t="s">
        <v>1104</v>
      </c>
    </row>
    <row r="441" customFormat="false" ht="15" hidden="false" customHeight="true" outlineLevel="0" collapsed="false">
      <c r="A441" s="9" t="s">
        <v>53</v>
      </c>
      <c r="B441" s="9" t="s">
        <v>150</v>
      </c>
      <c r="C441" s="9" t="s">
        <v>37</v>
      </c>
      <c r="D441" s="9"/>
      <c r="E441" s="9" t="s">
        <v>49</v>
      </c>
      <c r="F441" s="19" t="s">
        <v>1276</v>
      </c>
      <c r="G441" s="9" t="s">
        <v>1105</v>
      </c>
    </row>
    <row r="442" customFormat="false" ht="15" hidden="false" customHeight="true" outlineLevel="0" collapsed="false">
      <c r="A442" s="9" t="s">
        <v>53</v>
      </c>
      <c r="B442" s="9" t="s">
        <v>153</v>
      </c>
      <c r="C442" s="9" t="s">
        <v>23</v>
      </c>
      <c r="D442" s="9"/>
      <c r="E442" s="9" t="s">
        <v>49</v>
      </c>
      <c r="F442" s="19" t="s">
        <v>1277</v>
      </c>
      <c r="G442" s="9" t="s">
        <v>1266</v>
      </c>
    </row>
    <row r="443" customFormat="false" ht="15" hidden="false" customHeight="true" outlineLevel="0" collapsed="false">
      <c r="A443" s="9" t="s">
        <v>53</v>
      </c>
      <c r="B443" s="9" t="s">
        <v>153</v>
      </c>
      <c r="C443" s="9" t="s">
        <v>24</v>
      </c>
      <c r="D443" s="9"/>
      <c r="E443" s="9" t="s">
        <v>49</v>
      </c>
      <c r="F443" s="19" t="s">
        <v>1278</v>
      </c>
      <c r="G443" s="9" t="s">
        <v>1105</v>
      </c>
    </row>
    <row r="444" customFormat="false" ht="23.25" hidden="false" customHeight="true" outlineLevel="0" collapsed="false">
      <c r="A444" s="9" t="s">
        <v>53</v>
      </c>
      <c r="B444" s="9" t="s">
        <v>153</v>
      </c>
      <c r="C444" s="9" t="s">
        <v>25</v>
      </c>
      <c r="D444" s="9"/>
      <c r="E444" s="9" t="s">
        <v>58</v>
      </c>
      <c r="F444" s="19" t="s">
        <v>1279</v>
      </c>
      <c r="G444" s="9" t="s">
        <v>1261</v>
      </c>
    </row>
    <row r="445" customFormat="false" ht="15" hidden="false" customHeight="true" outlineLevel="0" collapsed="false">
      <c r="A445" s="9" t="s">
        <v>53</v>
      </c>
      <c r="B445" s="9" t="s">
        <v>153</v>
      </c>
      <c r="C445" s="9" t="s">
        <v>26</v>
      </c>
      <c r="D445" s="9"/>
      <c r="E445" s="9" t="s">
        <v>72</v>
      </c>
      <c r="F445" s="19" t="s">
        <v>1280</v>
      </c>
      <c r="G445" s="9" t="s">
        <v>1101</v>
      </c>
    </row>
    <row r="446" customFormat="false" ht="15" hidden="false" customHeight="true" outlineLevel="0" collapsed="false">
      <c r="A446" s="9" t="s">
        <v>53</v>
      </c>
      <c r="B446" s="9" t="s">
        <v>153</v>
      </c>
      <c r="C446" s="9" t="s">
        <v>27</v>
      </c>
      <c r="D446" s="9"/>
      <c r="E446" s="9" t="s">
        <v>49</v>
      </c>
      <c r="F446" s="19" t="s">
        <v>1281</v>
      </c>
      <c r="G446" s="9" t="s">
        <v>1138</v>
      </c>
    </row>
    <row r="447" customFormat="false" ht="15" hidden="false" customHeight="true" outlineLevel="0" collapsed="false">
      <c r="A447" s="9" t="s">
        <v>53</v>
      </c>
      <c r="B447" s="9" t="s">
        <v>153</v>
      </c>
      <c r="C447" s="9" t="s">
        <v>28</v>
      </c>
      <c r="D447" s="9"/>
      <c r="E447" s="9" t="s">
        <v>72</v>
      </c>
      <c r="F447" s="19" t="s">
        <v>1282</v>
      </c>
      <c r="G447" s="9" t="s">
        <v>1114</v>
      </c>
    </row>
    <row r="448" customFormat="false" ht="15" hidden="false" customHeight="true" outlineLevel="0" collapsed="false">
      <c r="A448" s="9" t="s">
        <v>53</v>
      </c>
      <c r="B448" s="9" t="s">
        <v>153</v>
      </c>
      <c r="C448" s="9" t="s">
        <v>29</v>
      </c>
      <c r="D448" s="9"/>
      <c r="E448" s="9" t="s">
        <v>51</v>
      </c>
      <c r="F448" s="19" t="s">
        <v>1283</v>
      </c>
      <c r="G448" s="9" t="s">
        <v>1266</v>
      </c>
    </row>
    <row r="449" customFormat="false" ht="15" hidden="false" customHeight="true" outlineLevel="0" collapsed="false">
      <c r="A449" s="9" t="s">
        <v>53</v>
      </c>
      <c r="B449" s="9" t="s">
        <v>153</v>
      </c>
      <c r="C449" s="9" t="s">
        <v>30</v>
      </c>
      <c r="D449" s="9"/>
      <c r="E449" s="9" t="s">
        <v>49</v>
      </c>
      <c r="F449" s="19" t="s">
        <v>1284</v>
      </c>
      <c r="G449" s="9" t="s">
        <v>1268</v>
      </c>
    </row>
    <row r="450" customFormat="false" ht="15" hidden="false" customHeight="true" outlineLevel="0" collapsed="false">
      <c r="A450" s="9" t="s">
        <v>53</v>
      </c>
      <c r="B450" s="9" t="s">
        <v>153</v>
      </c>
      <c r="C450" s="9" t="s">
        <v>31</v>
      </c>
      <c r="D450" s="9"/>
      <c r="E450" s="9" t="s">
        <v>49</v>
      </c>
      <c r="F450" s="19" t="s">
        <v>1285</v>
      </c>
      <c r="G450" s="9" t="s">
        <v>1286</v>
      </c>
    </row>
    <row r="451" customFormat="false" ht="15" hidden="false" customHeight="true" outlineLevel="0" collapsed="false">
      <c r="A451" s="9" t="s">
        <v>53</v>
      </c>
      <c r="B451" s="9" t="s">
        <v>153</v>
      </c>
      <c r="C451" s="9" t="s">
        <v>33</v>
      </c>
      <c r="D451" s="9"/>
      <c r="E451" s="9" t="s">
        <v>49</v>
      </c>
      <c r="F451" s="19" t="s">
        <v>1287</v>
      </c>
      <c r="G451" s="9" t="s">
        <v>1101</v>
      </c>
    </row>
    <row r="452" customFormat="false" ht="15" hidden="false" customHeight="true" outlineLevel="0" collapsed="false">
      <c r="A452" s="9" t="s">
        <v>53</v>
      </c>
      <c r="B452" s="9" t="s">
        <v>153</v>
      </c>
      <c r="C452" s="9" t="s">
        <v>34</v>
      </c>
      <c r="D452" s="9"/>
      <c r="E452" s="9" t="s">
        <v>49</v>
      </c>
      <c r="F452" s="19" t="s">
        <v>1288</v>
      </c>
      <c r="G452" s="9" t="s">
        <v>1261</v>
      </c>
    </row>
    <row r="453" customFormat="false" ht="15" hidden="false" customHeight="true" outlineLevel="0" collapsed="false">
      <c r="A453" s="9" t="s">
        <v>53</v>
      </c>
      <c r="B453" s="9" t="s">
        <v>153</v>
      </c>
      <c r="C453" s="9" t="s">
        <v>35</v>
      </c>
      <c r="D453" s="9"/>
      <c r="E453" s="9" t="s">
        <v>1431</v>
      </c>
      <c r="F453" s="19" t="s">
        <v>1289</v>
      </c>
      <c r="G453" s="9" t="s">
        <v>1290</v>
      </c>
    </row>
    <row r="454" customFormat="false" ht="15" hidden="false" customHeight="true" outlineLevel="0" collapsed="false">
      <c r="A454" s="9" t="s">
        <v>53</v>
      </c>
      <c r="B454" s="9" t="s">
        <v>153</v>
      </c>
      <c r="C454" s="9" t="s">
        <v>36</v>
      </c>
      <c r="D454" s="9"/>
      <c r="E454" s="9" t="s">
        <v>51</v>
      </c>
      <c r="F454" s="19" t="s">
        <v>1291</v>
      </c>
      <c r="G454" s="9" t="s">
        <v>1104</v>
      </c>
    </row>
    <row r="455" customFormat="false" ht="15" hidden="false" customHeight="true" outlineLevel="0" collapsed="false">
      <c r="A455" s="9" t="s">
        <v>53</v>
      </c>
      <c r="B455" s="9" t="s">
        <v>153</v>
      </c>
      <c r="C455" s="9" t="s">
        <v>37</v>
      </c>
      <c r="D455" s="9"/>
      <c r="E455" s="9" t="s">
        <v>52</v>
      </c>
      <c r="F455" s="19" t="s">
        <v>1292</v>
      </c>
      <c r="G455" s="9" t="s">
        <v>1105</v>
      </c>
    </row>
    <row r="456" customFormat="false" ht="15" hidden="false" customHeight="true" outlineLevel="0" collapsed="false">
      <c r="A456" s="9" t="s">
        <v>53</v>
      </c>
      <c r="B456" s="9" t="s">
        <v>156</v>
      </c>
      <c r="C456" s="9" t="s">
        <v>23</v>
      </c>
      <c r="D456" s="9"/>
      <c r="E456" s="9" t="s">
        <v>52</v>
      </c>
      <c r="F456" s="19" t="s">
        <v>1293</v>
      </c>
      <c r="G456" s="9" t="s">
        <v>1266</v>
      </c>
    </row>
    <row r="457" customFormat="false" ht="23.25" hidden="false" customHeight="true" outlineLevel="0" collapsed="false">
      <c r="A457" s="9" t="s">
        <v>53</v>
      </c>
      <c r="B457" s="9" t="s">
        <v>156</v>
      </c>
      <c r="C457" s="9" t="s">
        <v>24</v>
      </c>
      <c r="D457" s="9"/>
      <c r="E457" s="9" t="s">
        <v>49</v>
      </c>
      <c r="F457" s="19" t="s">
        <v>1294</v>
      </c>
      <c r="G457" s="9" t="s">
        <v>1105</v>
      </c>
    </row>
    <row r="458" customFormat="false" ht="15" hidden="false" customHeight="true" outlineLevel="0" collapsed="false">
      <c r="A458" s="9" t="s">
        <v>53</v>
      </c>
      <c r="B458" s="9" t="s">
        <v>156</v>
      </c>
      <c r="C458" s="9" t="s">
        <v>25</v>
      </c>
      <c r="D458" s="9"/>
      <c r="E458" s="9" t="s">
        <v>1431</v>
      </c>
      <c r="F458" s="19" t="s">
        <v>1295</v>
      </c>
      <c r="G458" s="9" t="s">
        <v>1261</v>
      </c>
    </row>
    <row r="459" customFormat="false" ht="15" hidden="false" customHeight="true" outlineLevel="0" collapsed="false">
      <c r="A459" s="9" t="s">
        <v>53</v>
      </c>
      <c r="B459" s="9" t="s">
        <v>156</v>
      </c>
      <c r="C459" s="9" t="s">
        <v>26</v>
      </c>
      <c r="D459" s="9"/>
      <c r="E459" s="9" t="s">
        <v>51</v>
      </c>
      <c r="F459" s="19" t="s">
        <v>1296</v>
      </c>
      <c r="G459" s="9" t="s">
        <v>1101</v>
      </c>
    </row>
    <row r="460" customFormat="false" ht="15" hidden="false" customHeight="true" outlineLevel="0" collapsed="false">
      <c r="A460" s="9" t="s">
        <v>53</v>
      </c>
      <c r="B460" s="9" t="s">
        <v>156</v>
      </c>
      <c r="C460" s="9" t="s">
        <v>27</v>
      </c>
      <c r="D460" s="9"/>
      <c r="E460" s="9" t="s">
        <v>58</v>
      </c>
      <c r="F460" s="19" t="s">
        <v>1297</v>
      </c>
      <c r="G460" s="9" t="s">
        <v>1138</v>
      </c>
    </row>
    <row r="461" customFormat="false" ht="15" hidden="false" customHeight="true" outlineLevel="0" collapsed="false">
      <c r="A461" s="9" t="s">
        <v>53</v>
      </c>
      <c r="B461" s="9" t="s">
        <v>156</v>
      </c>
      <c r="C461" s="9" t="s">
        <v>28</v>
      </c>
      <c r="D461" s="9"/>
      <c r="E461" s="9" t="s">
        <v>72</v>
      </c>
      <c r="F461" s="19" t="s">
        <v>1298</v>
      </c>
      <c r="G461" s="9" t="s">
        <v>1114</v>
      </c>
    </row>
    <row r="462" customFormat="false" ht="23.25" hidden="false" customHeight="true" outlineLevel="0" collapsed="false">
      <c r="A462" s="9" t="s">
        <v>53</v>
      </c>
      <c r="B462" s="9" t="s">
        <v>156</v>
      </c>
      <c r="C462" s="9" t="s">
        <v>29</v>
      </c>
      <c r="D462" s="9"/>
      <c r="E462" s="9" t="s">
        <v>58</v>
      </c>
      <c r="F462" s="19" t="s">
        <v>1299</v>
      </c>
      <c r="G462" s="9" t="s">
        <v>1266</v>
      </c>
    </row>
    <row r="463" customFormat="false" ht="15" hidden="false" customHeight="true" outlineLevel="0" collapsed="false">
      <c r="A463" s="9" t="s">
        <v>53</v>
      </c>
      <c r="B463" s="9" t="s">
        <v>156</v>
      </c>
      <c r="C463" s="9" t="s">
        <v>30</v>
      </c>
      <c r="D463" s="9"/>
      <c r="E463" s="9" t="s">
        <v>49</v>
      </c>
      <c r="F463" s="19" t="s">
        <v>1300</v>
      </c>
      <c r="G463" s="9" t="s">
        <v>1268</v>
      </c>
    </row>
    <row r="464" customFormat="false" ht="15" hidden="false" customHeight="true" outlineLevel="0" collapsed="false">
      <c r="A464" s="9" t="s">
        <v>53</v>
      </c>
      <c r="B464" s="9" t="s">
        <v>156</v>
      </c>
      <c r="C464" s="9" t="s">
        <v>31</v>
      </c>
      <c r="D464" s="9"/>
      <c r="E464" s="9" t="s">
        <v>51</v>
      </c>
      <c r="F464" s="19" t="s">
        <v>1301</v>
      </c>
      <c r="G464" s="9" t="s">
        <v>1215</v>
      </c>
    </row>
    <row r="465" customFormat="false" ht="23.25" hidden="false" customHeight="true" outlineLevel="0" collapsed="false">
      <c r="A465" s="9" t="s">
        <v>53</v>
      </c>
      <c r="B465" s="9" t="s">
        <v>156</v>
      </c>
      <c r="C465" s="9" t="s">
        <v>33</v>
      </c>
      <c r="D465" s="9"/>
      <c r="E465" s="9" t="s">
        <v>49</v>
      </c>
      <c r="F465" s="19" t="s">
        <v>1302</v>
      </c>
      <c r="G465" s="9" t="s">
        <v>1101</v>
      </c>
    </row>
    <row r="466" customFormat="false" ht="15" hidden="false" customHeight="true" outlineLevel="0" collapsed="false">
      <c r="A466" s="9" t="s">
        <v>53</v>
      </c>
      <c r="B466" s="9" t="s">
        <v>156</v>
      </c>
      <c r="C466" s="9" t="s">
        <v>34</v>
      </c>
      <c r="D466" s="9"/>
      <c r="E466" s="9" t="s">
        <v>58</v>
      </c>
      <c r="F466" s="19" t="s">
        <v>1303</v>
      </c>
      <c r="G466" s="9" t="s">
        <v>1261</v>
      </c>
    </row>
    <row r="467" customFormat="false" ht="15" hidden="false" customHeight="true" outlineLevel="0" collapsed="false">
      <c r="A467" s="9" t="s">
        <v>53</v>
      </c>
      <c r="B467" s="9" t="s">
        <v>156</v>
      </c>
      <c r="C467" s="9" t="s">
        <v>36</v>
      </c>
      <c r="D467" s="9"/>
      <c r="E467" s="9" t="s">
        <v>58</v>
      </c>
      <c r="F467" s="19" t="s">
        <v>1304</v>
      </c>
      <c r="G467" s="9" t="s">
        <v>1104</v>
      </c>
    </row>
    <row r="468" customFormat="false" ht="15" hidden="false" customHeight="true" outlineLevel="0" collapsed="false">
      <c r="A468" s="9" t="s">
        <v>53</v>
      </c>
      <c r="B468" s="9" t="s">
        <v>156</v>
      </c>
      <c r="C468" s="9" t="s">
        <v>37</v>
      </c>
      <c r="D468" s="9"/>
      <c r="E468" s="9" t="s">
        <v>49</v>
      </c>
      <c r="F468" s="19" t="s">
        <v>1305</v>
      </c>
      <c r="G468" s="9" t="s">
        <v>1105</v>
      </c>
    </row>
    <row r="469" customFormat="false" ht="15" hidden="false" customHeight="true" outlineLevel="0" collapsed="false">
      <c r="A469" s="9" t="s">
        <v>53</v>
      </c>
      <c r="B469" s="9" t="s">
        <v>159</v>
      </c>
      <c r="C469" s="9" t="s">
        <v>23</v>
      </c>
      <c r="D469" s="9"/>
      <c r="E469" s="9" t="s">
        <v>49</v>
      </c>
      <c r="F469" s="19" t="s">
        <v>1306</v>
      </c>
      <c r="G469" s="9" t="s">
        <v>1307</v>
      </c>
    </row>
    <row r="470" customFormat="false" ht="15" hidden="false" customHeight="true" outlineLevel="0" collapsed="false">
      <c r="A470" s="9" t="s">
        <v>53</v>
      </c>
      <c r="B470" s="9" t="s">
        <v>159</v>
      </c>
      <c r="C470" s="9" t="s">
        <v>24</v>
      </c>
      <c r="D470" s="9"/>
      <c r="E470" s="9" t="s">
        <v>49</v>
      </c>
      <c r="F470" s="19" t="s">
        <v>1308</v>
      </c>
      <c r="G470" s="9" t="s">
        <v>1105</v>
      </c>
    </row>
    <row r="471" customFormat="false" ht="15" hidden="false" customHeight="true" outlineLevel="0" collapsed="false">
      <c r="A471" s="9" t="s">
        <v>53</v>
      </c>
      <c r="B471" s="9" t="s">
        <v>159</v>
      </c>
      <c r="C471" s="9" t="s">
        <v>25</v>
      </c>
      <c r="D471" s="9"/>
      <c r="E471" s="9" t="s">
        <v>1431</v>
      </c>
      <c r="F471" s="19" t="s">
        <v>1309</v>
      </c>
      <c r="G471" s="9" t="s">
        <v>1261</v>
      </c>
    </row>
    <row r="472" customFormat="false" ht="15" hidden="false" customHeight="true" outlineLevel="0" collapsed="false">
      <c r="A472" s="9" t="s">
        <v>53</v>
      </c>
      <c r="B472" s="9" t="s">
        <v>159</v>
      </c>
      <c r="C472" s="9" t="s">
        <v>26</v>
      </c>
      <c r="D472" s="9"/>
      <c r="E472" s="9" t="s">
        <v>51</v>
      </c>
      <c r="F472" s="19" t="s">
        <v>1310</v>
      </c>
      <c r="G472" s="9" t="s">
        <v>1311</v>
      </c>
    </row>
    <row r="473" customFormat="false" ht="23.25" hidden="false" customHeight="true" outlineLevel="0" collapsed="false">
      <c r="A473" s="9" t="s">
        <v>53</v>
      </c>
      <c r="B473" s="9" t="s">
        <v>159</v>
      </c>
      <c r="C473" s="9" t="s">
        <v>27</v>
      </c>
      <c r="D473" s="9"/>
      <c r="E473" s="9" t="s">
        <v>58</v>
      </c>
      <c r="F473" s="19" t="s">
        <v>1312</v>
      </c>
      <c r="G473" s="9" t="s">
        <v>1138</v>
      </c>
    </row>
    <row r="474" customFormat="false" ht="15" hidden="false" customHeight="true" outlineLevel="0" collapsed="false">
      <c r="A474" s="9" t="s">
        <v>53</v>
      </c>
      <c r="B474" s="9" t="s">
        <v>159</v>
      </c>
      <c r="C474" s="9" t="s">
        <v>28</v>
      </c>
      <c r="D474" s="9"/>
      <c r="E474" s="9" t="s">
        <v>72</v>
      </c>
      <c r="F474" s="19" t="s">
        <v>1313</v>
      </c>
      <c r="G474" s="9" t="s">
        <v>1114</v>
      </c>
    </row>
    <row r="475" customFormat="false" ht="15" hidden="false" customHeight="true" outlineLevel="0" collapsed="false">
      <c r="A475" s="9" t="s">
        <v>53</v>
      </c>
      <c r="B475" s="9" t="s">
        <v>159</v>
      </c>
      <c r="C475" s="9" t="s">
        <v>29</v>
      </c>
      <c r="D475" s="9"/>
      <c r="E475" s="9" t="s">
        <v>1431</v>
      </c>
      <c r="F475" s="19" t="s">
        <v>1314</v>
      </c>
      <c r="G475" s="9" t="s">
        <v>1266</v>
      </c>
    </row>
    <row r="476" customFormat="false" ht="15" hidden="false" customHeight="true" outlineLevel="0" collapsed="false">
      <c r="A476" s="9" t="s">
        <v>53</v>
      </c>
      <c r="B476" s="9" t="s">
        <v>159</v>
      </c>
      <c r="C476" s="9" t="s">
        <v>30</v>
      </c>
      <c r="D476" s="9"/>
      <c r="E476" s="9" t="s">
        <v>49</v>
      </c>
      <c r="F476" s="19" t="s">
        <v>1300</v>
      </c>
      <c r="G476" s="9" t="s">
        <v>1268</v>
      </c>
    </row>
    <row r="477" customFormat="false" ht="15" hidden="false" customHeight="true" outlineLevel="0" collapsed="false">
      <c r="A477" s="9" t="s">
        <v>53</v>
      </c>
      <c r="B477" s="9" t="s">
        <v>159</v>
      </c>
      <c r="C477" s="9" t="s">
        <v>31</v>
      </c>
      <c r="D477" s="9"/>
      <c r="E477" s="9" t="s">
        <v>51</v>
      </c>
      <c r="F477" s="19" t="s">
        <v>1315</v>
      </c>
      <c r="G477" s="9" t="s">
        <v>1215</v>
      </c>
    </row>
    <row r="478" customFormat="false" ht="23.25" hidden="false" customHeight="true" outlineLevel="0" collapsed="false">
      <c r="A478" s="9" t="s">
        <v>53</v>
      </c>
      <c r="B478" s="9" t="s">
        <v>159</v>
      </c>
      <c r="C478" s="9" t="s">
        <v>33</v>
      </c>
      <c r="D478" s="9"/>
      <c r="E478" s="9" t="s">
        <v>49</v>
      </c>
      <c r="F478" s="19" t="s">
        <v>1316</v>
      </c>
      <c r="G478" s="9" t="s">
        <v>1317</v>
      </c>
    </row>
    <row r="479" customFormat="false" ht="15" hidden="false" customHeight="true" outlineLevel="0" collapsed="false">
      <c r="A479" s="9" t="s">
        <v>53</v>
      </c>
      <c r="B479" s="9" t="s">
        <v>159</v>
      </c>
      <c r="C479" s="9" t="s">
        <v>34</v>
      </c>
      <c r="D479" s="9"/>
      <c r="E479" s="9" t="s">
        <v>52</v>
      </c>
      <c r="F479" s="19" t="s">
        <v>1318</v>
      </c>
      <c r="G479" s="9" t="s">
        <v>1319</v>
      </c>
    </row>
    <row r="480" customFormat="false" ht="15" hidden="false" customHeight="true" outlineLevel="0" collapsed="false">
      <c r="A480" s="9" t="s">
        <v>53</v>
      </c>
      <c r="B480" s="9" t="s">
        <v>159</v>
      </c>
      <c r="C480" s="9" t="s">
        <v>36</v>
      </c>
      <c r="D480" s="9"/>
      <c r="E480" s="9" t="s">
        <v>51</v>
      </c>
      <c r="F480" s="19" t="s">
        <v>1320</v>
      </c>
      <c r="G480" s="9" t="s">
        <v>1104</v>
      </c>
    </row>
    <row r="481" customFormat="false" ht="23.25" hidden="false" customHeight="true" outlineLevel="0" collapsed="false">
      <c r="A481" s="9" t="s">
        <v>53</v>
      </c>
      <c r="B481" s="9" t="s">
        <v>159</v>
      </c>
      <c r="C481" s="9" t="s">
        <v>37</v>
      </c>
      <c r="D481" s="9"/>
      <c r="E481" s="9" t="s">
        <v>49</v>
      </c>
      <c r="F481" s="19" t="s">
        <v>1321</v>
      </c>
      <c r="G481" s="9" t="s">
        <v>1105</v>
      </c>
    </row>
    <row r="482" customFormat="false" ht="23.85" hidden="false" customHeight="false" outlineLevel="0" collapsed="false">
      <c r="A482" s="9" t="s">
        <v>1455</v>
      </c>
      <c r="B482" s="9" t="s">
        <v>120</v>
      </c>
      <c r="C482" s="9" t="s">
        <v>35</v>
      </c>
      <c r="D482" s="9"/>
      <c r="E482" s="9" t="s">
        <v>49</v>
      </c>
      <c r="F482" s="19" t="s">
        <v>1456</v>
      </c>
      <c r="G482" s="9" t="s">
        <v>1457</v>
      </c>
    </row>
  </sheetData>
  <autoFilter ref="A3:G4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6"/>
    <col collapsed="false" customWidth="true" hidden="false" outlineLevel="0" max="3" min="3" style="1" width="8"/>
    <col collapsed="false" customWidth="true" hidden="false" outlineLevel="0" max="4" min="4" style="1" width="70"/>
    <col collapsed="false" customWidth="true" hidden="false" outlineLevel="0" max="5" min="5" style="1" width="40"/>
    <col collapsed="false" customWidth="true" hidden="false" outlineLevel="0" max="16" min="6" style="1" width="6"/>
  </cols>
  <sheetData>
    <row r="1" customFormat="false" ht="17.25" hidden="false" customHeight="true" outlineLevel="0" collapsed="false">
      <c r="A1" s="2" t="s">
        <v>1458</v>
      </c>
    </row>
    <row r="3" customFormat="false" ht="15" hidden="false" customHeight="true" outlineLevel="0" collapsed="false">
      <c r="A3" s="20" t="s">
        <v>191</v>
      </c>
      <c r="B3" s="20" t="s">
        <v>1459</v>
      </c>
    </row>
    <row r="4" customFormat="false" ht="15" hidden="false" customHeight="true" outlineLevel="0" collapsed="false">
      <c r="A4" s="18" t="s">
        <v>49</v>
      </c>
      <c r="B4" s="13" t="n">
        <v>1</v>
      </c>
    </row>
    <row r="5" customFormat="false" ht="15" hidden="false" customHeight="true" outlineLevel="0" collapsed="false">
      <c r="A5" s="18" t="s">
        <v>52</v>
      </c>
      <c r="B5" s="13" t="n">
        <v>0.75</v>
      </c>
    </row>
    <row r="6" customFormat="false" ht="15" hidden="false" customHeight="true" outlineLevel="0" collapsed="false">
      <c r="A6" s="18" t="s">
        <v>51</v>
      </c>
      <c r="B6" s="13" t="n">
        <v>0.5</v>
      </c>
    </row>
    <row r="7" customFormat="false" ht="15" hidden="false" customHeight="true" outlineLevel="0" collapsed="false">
      <c r="A7" s="18" t="s">
        <v>58</v>
      </c>
      <c r="B7" s="13" t="n">
        <v>0.25</v>
      </c>
    </row>
    <row r="8" customFormat="false" ht="15" hidden="false" customHeight="true" outlineLevel="0" collapsed="false">
      <c r="A8" s="18" t="s">
        <v>72</v>
      </c>
      <c r="B8" s="13" t="n">
        <v>0</v>
      </c>
    </row>
    <row r="10" customFormat="false" ht="15" hidden="false" customHeight="true" outlineLevel="0" collapsed="false">
      <c r="A10" s="4" t="s">
        <v>1460</v>
      </c>
    </row>
    <row r="11" customFormat="false" ht="15" hidden="false" customHeight="true" outlineLevel="0" collapsed="false">
      <c r="A11" s="7" t="s">
        <v>189</v>
      </c>
      <c r="B11" s="7" t="s">
        <v>16</v>
      </c>
      <c r="C11" s="7" t="s">
        <v>1461</v>
      </c>
      <c r="D11" s="7" t="s">
        <v>1462</v>
      </c>
      <c r="E11" s="7" t="s">
        <v>1463</v>
      </c>
    </row>
    <row r="12" customFormat="false" ht="15" hidden="false" customHeight="true" outlineLevel="0" collapsed="false">
      <c r="A12" s="18" t="s">
        <v>23</v>
      </c>
      <c r="B12" s="19" t="s">
        <v>1464</v>
      </c>
      <c r="C12" s="18" t="n">
        <v>10</v>
      </c>
      <c r="D12" s="19" t="s">
        <v>1465</v>
      </c>
      <c r="E12" s="19" t="s">
        <v>1466</v>
      </c>
    </row>
    <row r="13" customFormat="false" ht="23.25" hidden="false" customHeight="true" outlineLevel="0" collapsed="false">
      <c r="A13" s="18" t="s">
        <v>24</v>
      </c>
      <c r="B13" s="19" t="s">
        <v>1467</v>
      </c>
      <c r="C13" s="18" t="n">
        <v>5</v>
      </c>
      <c r="D13" s="19" t="s">
        <v>1468</v>
      </c>
      <c r="E13" s="19" t="s">
        <v>1469</v>
      </c>
    </row>
    <row r="14" customFormat="false" ht="15" hidden="false" customHeight="true" outlineLevel="0" collapsed="false">
      <c r="A14" s="18" t="s">
        <v>25</v>
      </c>
      <c r="B14" s="19" t="s">
        <v>197</v>
      </c>
      <c r="C14" s="18" t="n">
        <v>5</v>
      </c>
      <c r="D14" s="19" t="s">
        <v>1470</v>
      </c>
      <c r="E14" s="19" t="s">
        <v>1471</v>
      </c>
    </row>
    <row r="15" customFormat="false" ht="23.25" hidden="false" customHeight="true" outlineLevel="0" collapsed="false">
      <c r="A15" s="18" t="s">
        <v>26</v>
      </c>
      <c r="B15" s="19" t="s">
        <v>1472</v>
      </c>
      <c r="C15" s="18" t="n">
        <v>5</v>
      </c>
      <c r="D15" s="19" t="s">
        <v>1473</v>
      </c>
      <c r="E15" s="19" t="s">
        <v>1474</v>
      </c>
    </row>
    <row r="16" customFormat="false" ht="15" hidden="false" customHeight="true" outlineLevel="0" collapsed="false">
      <c r="A16" s="18" t="s">
        <v>27</v>
      </c>
      <c r="B16" s="19" t="s">
        <v>1475</v>
      </c>
      <c r="C16" s="18" t="n">
        <v>10</v>
      </c>
      <c r="D16" s="19" t="s">
        <v>1476</v>
      </c>
      <c r="E16" s="19" t="s">
        <v>1477</v>
      </c>
    </row>
    <row r="17" customFormat="false" ht="23.25" hidden="false" customHeight="true" outlineLevel="0" collapsed="false">
      <c r="A17" s="18" t="s">
        <v>28</v>
      </c>
      <c r="B17" s="19" t="s">
        <v>203</v>
      </c>
      <c r="C17" s="18" t="n">
        <v>10</v>
      </c>
      <c r="D17" s="19" t="s">
        <v>1478</v>
      </c>
      <c r="E17" s="19" t="s">
        <v>1100</v>
      </c>
    </row>
    <row r="18" customFormat="false" ht="23.25" hidden="false" customHeight="true" outlineLevel="0" collapsed="false">
      <c r="A18" s="18" t="s">
        <v>29</v>
      </c>
      <c r="B18" s="19" t="s">
        <v>205</v>
      </c>
      <c r="C18" s="18" t="n">
        <v>5</v>
      </c>
      <c r="D18" s="19" t="s">
        <v>1479</v>
      </c>
      <c r="E18" s="19" t="s">
        <v>1480</v>
      </c>
    </row>
    <row r="19" customFormat="false" ht="23.25" hidden="false" customHeight="true" outlineLevel="0" collapsed="false">
      <c r="A19" s="18" t="s">
        <v>30</v>
      </c>
      <c r="B19" s="19" t="s">
        <v>207</v>
      </c>
      <c r="C19" s="18" t="n">
        <v>5</v>
      </c>
      <c r="D19" s="19" t="s">
        <v>1481</v>
      </c>
      <c r="E19" s="19" t="s">
        <v>1482</v>
      </c>
    </row>
    <row r="20" customFormat="false" ht="23.25" hidden="false" customHeight="true" outlineLevel="0" collapsed="false">
      <c r="A20" s="18" t="s">
        <v>31</v>
      </c>
      <c r="B20" s="19" t="s">
        <v>209</v>
      </c>
      <c r="C20" s="18" t="n">
        <v>10</v>
      </c>
      <c r="D20" s="19" t="s">
        <v>1483</v>
      </c>
      <c r="E20" s="19" t="s">
        <v>1484</v>
      </c>
    </row>
    <row r="21" customFormat="false" ht="23.25" hidden="false" customHeight="true" outlineLevel="0" collapsed="false">
      <c r="A21" s="18" t="s">
        <v>32</v>
      </c>
      <c r="B21" s="19" t="s">
        <v>211</v>
      </c>
      <c r="C21" s="18" t="n">
        <v>5</v>
      </c>
      <c r="D21" s="19" t="s">
        <v>1485</v>
      </c>
      <c r="E21" s="19" t="s">
        <v>1486</v>
      </c>
    </row>
    <row r="22" customFormat="false" ht="15" hidden="false" customHeight="true" outlineLevel="0" collapsed="false">
      <c r="A22" s="18" t="s">
        <v>33</v>
      </c>
      <c r="B22" s="19" t="s">
        <v>213</v>
      </c>
      <c r="C22" s="18" t="n">
        <v>10</v>
      </c>
      <c r="D22" s="19" t="s">
        <v>1487</v>
      </c>
      <c r="E22" s="19" t="s">
        <v>1488</v>
      </c>
    </row>
    <row r="23" customFormat="false" ht="23.25" hidden="false" customHeight="true" outlineLevel="0" collapsed="false">
      <c r="A23" s="18" t="s">
        <v>34</v>
      </c>
      <c r="B23" s="19" t="s">
        <v>215</v>
      </c>
      <c r="C23" s="18" t="n">
        <v>5</v>
      </c>
      <c r="D23" s="19" t="s">
        <v>1489</v>
      </c>
      <c r="E23" s="19" t="s">
        <v>1490</v>
      </c>
    </row>
    <row r="24" customFormat="false" ht="23.25" hidden="false" customHeight="true" outlineLevel="0" collapsed="false">
      <c r="A24" s="18" t="s">
        <v>35</v>
      </c>
      <c r="B24" s="19" t="s">
        <v>1491</v>
      </c>
      <c r="C24" s="18" t="n">
        <v>5</v>
      </c>
      <c r="D24" s="19" t="s">
        <v>1492</v>
      </c>
      <c r="E24" s="19" t="s">
        <v>1493</v>
      </c>
    </row>
    <row r="25" customFormat="false" ht="15" hidden="false" customHeight="true" outlineLevel="0" collapsed="false">
      <c r="A25" s="18" t="s">
        <v>36</v>
      </c>
      <c r="B25" s="19" t="s">
        <v>219</v>
      </c>
      <c r="C25" s="18" t="n">
        <v>5</v>
      </c>
      <c r="D25" s="19" t="s">
        <v>1494</v>
      </c>
      <c r="E25" s="19" t="s">
        <v>1104</v>
      </c>
    </row>
    <row r="26" customFormat="false" ht="23.25" hidden="false" customHeight="true" outlineLevel="0" collapsed="false">
      <c r="A26" s="18" t="s">
        <v>37</v>
      </c>
      <c r="B26" s="19" t="s">
        <v>1495</v>
      </c>
      <c r="C26" s="18" t="n">
        <v>5</v>
      </c>
      <c r="D26" s="19" t="s">
        <v>1496</v>
      </c>
      <c r="E26" s="19" t="s">
        <v>1497</v>
      </c>
    </row>
    <row r="27" customFormat="false" ht="15" hidden="false" customHeight="true" outlineLevel="0" collapsed="false">
      <c r="B27" s="14" t="s">
        <v>1498</v>
      </c>
      <c r="C27" s="23" t="n">
        <f aca="false">SUM(C12:C26)</f>
        <v>100</v>
      </c>
    </row>
    <row r="29" customFormat="false" ht="15" hidden="false" customHeight="true" outlineLevel="0" collapsed="false">
      <c r="A29" s="4" t="s">
        <v>1499</v>
      </c>
    </row>
    <row r="30" customFormat="false" ht="15" hidden="false" customHeight="true" outlineLevel="0" collapsed="false">
      <c r="A30" s="7" t="s">
        <v>17</v>
      </c>
      <c r="B30" s="7" t="s">
        <v>23</v>
      </c>
      <c r="C30" s="7" t="s">
        <v>24</v>
      </c>
      <c r="D30" s="7" t="s">
        <v>25</v>
      </c>
      <c r="E30" s="7" t="s">
        <v>26</v>
      </c>
      <c r="F30" s="7" t="s">
        <v>27</v>
      </c>
      <c r="G30" s="7" t="s">
        <v>28</v>
      </c>
      <c r="H30" s="7" t="s">
        <v>29</v>
      </c>
      <c r="I30" s="7" t="s">
        <v>30</v>
      </c>
      <c r="J30" s="7" t="s">
        <v>31</v>
      </c>
      <c r="K30" s="7" t="s">
        <v>32</v>
      </c>
      <c r="L30" s="7" t="s">
        <v>33</v>
      </c>
      <c r="M30" s="7" t="s">
        <v>34</v>
      </c>
      <c r="N30" s="7" t="s">
        <v>35</v>
      </c>
      <c r="O30" s="7" t="s">
        <v>36</v>
      </c>
      <c r="P30" s="7" t="s">
        <v>37</v>
      </c>
    </row>
    <row r="31" customFormat="false" ht="15" hidden="false" customHeight="true" outlineLevel="0" collapsed="false">
      <c r="A31" s="9" t="s">
        <v>57</v>
      </c>
      <c r="B31" s="18" t="n">
        <v>0</v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8" t="n">
        <v>0</v>
      </c>
      <c r="M31" s="18" t="n">
        <v>0</v>
      </c>
      <c r="N31" s="18" t="n">
        <v>0</v>
      </c>
      <c r="O31" s="18" t="n">
        <v>0</v>
      </c>
      <c r="P31" s="18" t="n">
        <v>0</v>
      </c>
    </row>
    <row r="32" customFormat="false" ht="15" hidden="false" customHeight="true" outlineLevel="0" collapsed="false">
      <c r="A32" s="9" t="s">
        <v>48</v>
      </c>
      <c r="B32" s="18" t="n">
        <v>0</v>
      </c>
      <c r="C32" s="18" t="n">
        <v>0</v>
      </c>
      <c r="D32" s="18" t="n">
        <v>0</v>
      </c>
      <c r="E32" s="18" t="n">
        <v>1</v>
      </c>
      <c r="F32" s="18" t="n">
        <v>0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8" t="n">
        <v>0</v>
      </c>
      <c r="P32" s="18" t="n">
        <v>0</v>
      </c>
    </row>
    <row r="33" customFormat="false" ht="15" hidden="false" customHeight="true" outlineLevel="0" collapsed="false">
      <c r="A33" s="9" t="s">
        <v>102</v>
      </c>
      <c r="B33" s="18" t="n">
        <v>0</v>
      </c>
      <c r="C33" s="18" t="n">
        <v>0</v>
      </c>
      <c r="D33" s="18" t="n">
        <v>0</v>
      </c>
      <c r="E33" s="18" t="n">
        <v>1</v>
      </c>
      <c r="F33" s="18" t="n">
        <v>0</v>
      </c>
      <c r="G33" s="18" t="n">
        <v>0</v>
      </c>
      <c r="H33" s="18" t="n">
        <v>0</v>
      </c>
      <c r="I33" s="18" t="n">
        <v>0</v>
      </c>
      <c r="J33" s="18" t="n">
        <v>0</v>
      </c>
      <c r="K33" s="18" t="n">
        <v>0</v>
      </c>
      <c r="L33" s="18" t="n">
        <v>0</v>
      </c>
      <c r="M33" s="18" t="n">
        <v>0</v>
      </c>
      <c r="N33" s="18" t="n">
        <v>0</v>
      </c>
      <c r="O33" s="18" t="n">
        <v>0</v>
      </c>
      <c r="P33" s="18" t="n">
        <v>0</v>
      </c>
    </row>
    <row r="34" customFormat="false" ht="15" hidden="false" customHeight="true" outlineLevel="0" collapsed="false">
      <c r="A34" s="9" t="s">
        <v>109</v>
      </c>
      <c r="B34" s="18" t="n">
        <v>1</v>
      </c>
      <c r="C34" s="18" t="n">
        <v>1</v>
      </c>
      <c r="D34" s="18" t="n">
        <v>1</v>
      </c>
      <c r="E34" s="18" t="n">
        <v>1</v>
      </c>
      <c r="F34" s="18" t="n">
        <v>0</v>
      </c>
      <c r="G34" s="18" t="n">
        <v>0</v>
      </c>
      <c r="H34" s="18" t="n">
        <v>0</v>
      </c>
      <c r="I34" s="18" t="n">
        <v>0</v>
      </c>
      <c r="J34" s="18" t="n">
        <v>0</v>
      </c>
      <c r="K34" s="18" t="n">
        <v>0</v>
      </c>
      <c r="L34" s="18" t="n">
        <v>0</v>
      </c>
      <c r="M34" s="18" t="n">
        <v>1</v>
      </c>
      <c r="N34" s="18" t="n">
        <v>0</v>
      </c>
      <c r="O34" s="18" t="n">
        <v>0</v>
      </c>
      <c r="P34" s="18" t="n">
        <v>1</v>
      </c>
    </row>
    <row r="35" customFormat="false" ht="15" hidden="false" customHeight="true" outlineLevel="0" collapsed="false">
      <c r="A35" s="5" t="s">
        <v>1500</v>
      </c>
    </row>
    <row r="38" customFormat="false" ht="15" hidden="false" customHeight="true" outlineLevel="0" collapsed="false">
      <c r="A38" s="7" t="s">
        <v>1501</v>
      </c>
      <c r="B38" s="7" t="s">
        <v>1502</v>
      </c>
    </row>
    <row r="39" customFormat="false" ht="15" hidden="false" customHeight="true" outlineLevel="0" collapsed="false">
      <c r="A39" s="9" t="s">
        <v>1503</v>
      </c>
      <c r="B39" s="24" t="n">
        <v>90</v>
      </c>
    </row>
    <row r="40" customFormat="false" ht="15" hidden="false" customHeight="true" outlineLevel="0" collapsed="false">
      <c r="A40" s="9" t="s">
        <v>1504</v>
      </c>
      <c r="B40" s="24" t="n">
        <v>75</v>
      </c>
    </row>
    <row r="41" customFormat="false" ht="15" hidden="false" customHeight="true" outlineLevel="0" collapsed="false">
      <c r="A41" s="9" t="s">
        <v>1505</v>
      </c>
      <c r="B41" s="24" t="n">
        <v>60</v>
      </c>
    </row>
    <row r="42" customFormat="false" ht="15" hidden="false" customHeight="true" outlineLevel="0" collapsed="false">
      <c r="A42" s="9" t="s">
        <v>1506</v>
      </c>
      <c r="B42" s="13" t="n">
        <v>0.7</v>
      </c>
    </row>
    <row r="45" customFormat="false" ht="15" hidden="false" customHeight="true" outlineLevel="0" collapsed="false">
      <c r="A45" s="4" t="s">
        <v>1507</v>
      </c>
    </row>
    <row r="46" customFormat="false" ht="90.75" hidden="false" customHeight="true" outlineLevel="0" collapsed="false">
      <c r="A46" s="9" t="s">
        <v>1508</v>
      </c>
      <c r="B46" s="19" t="s">
        <v>1509</v>
      </c>
    </row>
    <row r="47" customFormat="false" ht="34.5" hidden="false" customHeight="true" outlineLevel="0" collapsed="false">
      <c r="A47" s="9" t="s">
        <v>1510</v>
      </c>
      <c r="B47" s="19" t="s">
        <v>1511</v>
      </c>
    </row>
    <row r="50" customFormat="false" ht="15" hidden="false" customHeight="true" outlineLevel="0" collapsed="false">
      <c r="A50" s="4" t="s">
        <v>1512</v>
      </c>
    </row>
    <row r="51" customFormat="false" ht="15" hidden="false" customHeight="true" outlineLevel="0" collapsed="false">
      <c r="A51" s="18" t="n">
        <v>1</v>
      </c>
      <c r="B51" s="9" t="s">
        <v>54</v>
      </c>
    </row>
    <row r="52" customFormat="false" ht="15" hidden="false" customHeight="true" outlineLevel="0" collapsed="false">
      <c r="A52" s="18" t="n">
        <v>2</v>
      </c>
      <c r="B52" s="9" t="s">
        <v>60</v>
      </c>
    </row>
    <row r="53" customFormat="false" ht="15" hidden="false" customHeight="true" outlineLevel="0" collapsed="false">
      <c r="A53" s="18" t="n">
        <v>3</v>
      </c>
      <c r="B53" s="9" t="s">
        <v>113</v>
      </c>
    </row>
    <row r="54" customFormat="false" ht="15" hidden="false" customHeight="true" outlineLevel="0" collapsed="false">
      <c r="A54" s="18" t="n">
        <v>4</v>
      </c>
      <c r="B54" s="9" t="s">
        <v>87</v>
      </c>
    </row>
    <row r="55" customFormat="false" ht="15" hidden="false" customHeight="true" outlineLevel="0" collapsed="false">
      <c r="A55" s="18" t="n">
        <v>5</v>
      </c>
      <c r="B55" s="9" t="s">
        <v>66</v>
      </c>
    </row>
    <row r="56" customFormat="false" ht="15" hidden="false" customHeight="true" outlineLevel="0" collapsed="false">
      <c r="A56" s="18" t="n">
        <v>6</v>
      </c>
      <c r="B56" s="9" t="s">
        <v>110</v>
      </c>
    </row>
    <row r="57" customFormat="false" ht="15" hidden="false" customHeight="true" outlineLevel="0" collapsed="false">
      <c r="A57" s="18" t="n">
        <v>7</v>
      </c>
      <c r="B57" s="9" t="s">
        <v>63</v>
      </c>
    </row>
    <row r="58" customFormat="false" ht="15" hidden="false" customHeight="true" outlineLevel="0" collapsed="false">
      <c r="A58" s="18" t="n">
        <v>8</v>
      </c>
      <c r="B58" s="9" t="s">
        <v>1513</v>
      </c>
    </row>
    <row r="59" customFormat="false" ht="15" hidden="false" customHeight="true" outlineLevel="0" collapsed="false">
      <c r="A59" s="18" t="n">
        <v>9</v>
      </c>
      <c r="B59" s="9" t="s">
        <v>1514</v>
      </c>
    </row>
    <row r="60" customFormat="false" ht="15" hidden="false" customHeight="true" outlineLevel="0" collapsed="false">
      <c r="A60" s="18" t="n">
        <v>10</v>
      </c>
      <c r="B60" s="9" t="s">
        <v>99</v>
      </c>
    </row>
    <row r="61" customFormat="false" ht="15" hidden="false" customHeight="true" outlineLevel="0" collapsed="false">
      <c r="A61" s="18" t="n">
        <v>11</v>
      </c>
      <c r="B61" s="9" t="s">
        <v>119</v>
      </c>
    </row>
    <row r="62" customFormat="false" ht="15" hidden="false" customHeight="true" outlineLevel="0" collapsed="false">
      <c r="A62" s="18" t="n">
        <v>12</v>
      </c>
      <c r="B62" s="9" t="s">
        <v>103</v>
      </c>
    </row>
    <row r="63" customFormat="false" ht="15" hidden="false" customHeight="true" outlineLevel="0" collapsed="false">
      <c r="A63" s="18" t="n">
        <v>13</v>
      </c>
      <c r="B63" s="9" t="s">
        <v>96</v>
      </c>
    </row>
    <row r="64" customFormat="false" ht="15" hidden="false" customHeight="true" outlineLevel="0" collapsed="false">
      <c r="A64" s="18" t="n">
        <v>14</v>
      </c>
      <c r="B64" s="9" t="s">
        <v>73</v>
      </c>
    </row>
    <row r="65" customFormat="false" ht="15" hidden="false" customHeight="true" outlineLevel="0" collapsed="false">
      <c r="A65" s="18" t="n">
        <v>15</v>
      </c>
      <c r="B65" s="9" t="s">
        <v>1515</v>
      </c>
    </row>
    <row r="66" customFormat="false" ht="15" hidden="false" customHeight="true" outlineLevel="0" collapsed="false">
      <c r="A66" s="18" t="n">
        <v>16</v>
      </c>
      <c r="B66" s="9" t="s">
        <v>1516</v>
      </c>
    </row>
    <row r="67" customFormat="false" ht="15" hidden="false" customHeight="true" outlineLevel="0" collapsed="false">
      <c r="A67" s="18" t="n">
        <v>17</v>
      </c>
      <c r="B67" s="9" t="s">
        <v>1517</v>
      </c>
    </row>
    <row r="68" customFormat="false" ht="15" hidden="false" customHeight="true" outlineLevel="0" collapsed="false">
      <c r="A68" s="18" t="n">
        <v>18</v>
      </c>
      <c r="B68" s="9" t="s">
        <v>1518</v>
      </c>
    </row>
    <row r="69" customFormat="false" ht="15" hidden="false" customHeight="true" outlineLevel="0" collapsed="false">
      <c r="A69" s="18" t="n">
        <v>19</v>
      </c>
      <c r="B69" s="9" t="s">
        <v>1519</v>
      </c>
    </row>
    <row r="70" customFormat="false" ht="15" hidden="false" customHeight="true" outlineLevel="0" collapsed="false">
      <c r="A70" s="18" t="n">
        <v>20</v>
      </c>
      <c r="B70" s="9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2026-10-07T20:18:25Z</dcterms:created>
  <dc:creator>openpyxl</dc:creator>
  <dc:description/>
  <dc:language>en-US</dc:language>
  <cp:lastModifiedBy/>
  <dcterms:modified xsi:type="dcterms:W3CDTF">2026-10-08T11:58:39Z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